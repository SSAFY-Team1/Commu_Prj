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9cacc5dc4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사용안내" sheetId="1" r:id="Refb269d49ec94ff6"/>
    <x:sheet xmlns:r="http://schemas.openxmlformats.org/officeDocument/2006/relationships" name="1_프롬프트가이드(참고)" sheetId="2" r:id="R11fb041346b24cf3"/>
    <x:sheet xmlns:r="http://schemas.openxmlformats.org/officeDocument/2006/relationships" name="2_요구사항분석(실습)" sheetId="3" r:id="R59f78ad9ee094ce8"/>
    <x:sheet xmlns:r="http://schemas.openxmlformats.org/officeDocument/2006/relationships" name="3_아이디어도출(실습)" sheetId="4" r:id="R140a6c0df1ea4a6c"/>
    <x:sheet xmlns:r="http://schemas.openxmlformats.org/officeDocument/2006/relationships" name="4_MVP정의(실습)" sheetId="5" r:id="R606d83b156ab42bc"/>
    <x:sheet xmlns:r="http://schemas.openxmlformats.org/officeDocument/2006/relationships" name="5_WBS_간트차트(실습)" sheetId="6" r:id="Rc23dc13ba0724d06"/>
    <x:sheet xmlns:r="http://schemas.openxmlformats.org/officeDocument/2006/relationships" name="6_용어설명(참고)" sheetId="7" r:id="Rd302aecf679845c2"/>
    <x:sheet xmlns:r="http://schemas.openxmlformats.org/officeDocument/2006/relationships" name="7_기술구성_배포(최종)" sheetId="8" r:id="Rfb7a05daa4ad4326"/>
  </x:sheets>
</x:workbook>
</file>

<file path=xl/sharedStrings.xml><?xml version="1.0" encoding="utf-8"?>
<x:sst xmlns:x="http://schemas.openxmlformats.org/spreadsheetml/2006/main">
  <x:si>
    <x:t xml:space="preserve">프롬프트 가이드</x:t>
  </x:si>
  <x:si>
    <x:t xml:space="preserve">단계</x:t>
  </x:si>
  <x:si>
    <x:t xml:space="preserve">목적</x:t>
  </x:si>
  <x:si>
    <x:t xml:space="preserve">프롬프트 예시</x:t>
  </x:si>
  <x:si>
    <x:t xml:space="preserve">기대 결과물</x:t>
  </x:si>
  <x:si>
    <x:t xml:space="preserve">검토 포인트</x:t>
  </x:si>
  <x:si>
    <x:t xml:space="preserve">① 요구사항분석</x:t>
  </x:si>
  <x:si>
    <x:t xml:space="preserve">RFP 핵심 요구 추출</x:t>
  </x:si>
  <x:si>
    <x:t xml:space="preserve">RFP 전문을 분석해 [구분, 항목, 상세내용, 근거 조항, 검토 의견] 표로 정리하고, 반드시·금지·절대 등 강조 조항은 제약으로 분리한다.</x:t>
  </x:si>
  <x:si>
    <x:t xml:space="preserve">필수/선택/제약 표</x:t>
  </x:si>
  <x:si>
    <x:t xml:space="preserve">서울 1개 권역, 프론트엔드 단일 구조, 백엔드 없음, localStorage 특성, 산출물 누락 여부를 원문과 재대조</x:t>
  </x:si>
  <x:si>
    <x:t xml:space="preserve">② 아이디어도출</x:t>
  </x:si>
  <x:si>
    <x:t xml:space="preserve">선택기능 후보 평가</x:t>
  </x:si>
  <x:si>
    <x:t xml:space="preserve">개발기간 3일, VSCode Copilot+OpenAI API만 허용, 신입 개발자 위주 조건에서 후보별 [난이도, 실현가능성, 임팩트]를 평가하고 1순위와 예비 기능을 선정한다.</x:t>
  </x:si>
  <x:si>
    <x:t xml:space="preserve">후보 비교·선정표</x:t>
  </x:si>
  <x:si>
    <x:t xml:space="preserve">1순위는 데이터 시각화 대시보드, 예비는 커뮤니티 게시판 추가기능과 축제 캘린더로 두고 필수기능 완성을 우선</x:t>
  </x:si>
  <x:si>
    <x:t xml:space="preserve">③ MVP정의</x:t>
  </x:si>
  <x:si>
    <x:t xml:space="preserve">할 것과 안 할 것 확정</x:t>
  </x:si>
  <x:si>
    <x:t xml:space="preserve">선정 권역은 서울로 고정한다. Must는 RFP 필수 요구, Should는 Chart.js 데이터 시각화 대시보드, Could는 커뮤니티 추가기능·축제 캘린더, Won't는 이번 3일 범위 제외 항목으로 명시한다.</x:t>
  </x:si>
  <x:si>
    <x:t xml:space="preserve">MVP 범위표</x:t>
  </x:si>
  <x:si>
    <x:t xml:space="preserve">지도·경로·날씨·다국어·소셜 공유·회원가입·백엔드 등을 제외해 스코프 크립 방지</x:t>
  </x:si>
  <x:si>
    <x:t xml:space="preserve">④ WBS 작성</x:t>
  </x:si>
  <x:si>
    <x:t xml:space="preserve">3일 작업계획 구체화</x:t>
  </x:si>
  <x:si>
    <x:t xml:space="preserve">WBS + 간트차트</x:t>
  </x:si>
  <x:si>
    <x:t xml:space="preserve">Day2에 데이터 시각화 핵심을 구현하고 Day3 오전 기능 동결, 예비 기능은 필수·1순위 완료 후에만 착수</x:t>
  </x:si>
  <x:si>
    <x:t xml:space="preserve">LLM 사용 시 검토 원칙</x:t>
  </x:si>
  <x:si>
    <x:t xml:space="preserve">•</x:t>
  </x:si>
  <x:si>
    <x:t xml:space="preserve">AI 결과는 초안입니다. 날짜, 기술스택, 배포 방식, 금지 도구를 RFP 원문과 대조합니다.</x:t>
  </x:si>
  <x:si>
    <x:t xml:space="preserve">LocalHub 요구사항 분석 (MoSCoW)</x:t>
  </x:si>
  <x:si>
    <x:t xml:space="preserve">기준: Must(필수) / Should·Could(선택) / Won't(이번 범위에서 제외) / 제약. 근거는 RFP의 장·항 및 참고 번호로 표기했습니다.</x:t>
  </x:si>
  <x:si>
    <x:t xml:space="preserve">구분</x:t>
  </x:si>
  <x:si>
    <x:t xml:space="preserve">항목</x:t>
  </x:si>
  <x:si>
    <x:t xml:space="preserve">상세 내용</x:t>
  </x:si>
  <x:si>
    <x:t xml:space="preserve">개발 의뢰 문서(RFP) 근거</x:t>
  </x:si>
  <x:si>
    <x:t xml:space="preserve">검토 의견</x:t>
  </x:si>
  <x:si>
    <x:t xml:space="preserve">Must</x:t>
  </x:si>
  <x:si>
    <x:t xml:space="preserve">선정 권역 JSON 연동</x:t>
  </x:si>
  <x:si>
    <x:t xml:space="preserve">서울·대전/충청·구미/경북·광주/전라·부산 중 1곳을 선정하고, 제공된 JSON을 Vue 프론트엔드에서 직접 불러와 처리</x:t>
  </x:si>
  <x:si>
    <x:t xml:space="preserve">II-2, III-1-가</x:t>
  </x:si>
  <x:si>
    <x:t xml:space="preserve">서울 권역으로 확정. 직접 공공 API 호출과 별도 백엔드 구축은 하지 않음</x:t>
  </x:si>
  <x:si>
    <x:t xml:space="preserve">익명 커뮤니티 구조</x:t>
  </x:si>
  <x:si>
    <x:t xml:space="preserve">회원가입·로그인 없이 익명으로 사용하며 사용자 인증 및 권한 체계를 적용하지 않음</x:t>
  </x:si>
  <x:si>
    <x:t xml:space="preserve">III-2-가</x:t>
  </x:si>
  <x:si>
    <x:t xml:space="preserve">로그인 화면·회원 DB·권한 기능은 구현 대상에서 제외</x:t>
  </x:si>
  <x:si>
    <x:t xml:space="preserve">게시글 localStorage 저장</x:t>
  </x:si>
  <x:si>
    <x:t xml:space="preserve">게시글 제목·내용·수정용 비밀번호를 브라우저 localStorage에 저장</x:t>
  </x:si>
  <x:si>
    <x:t xml:space="preserve">III-2-나</x:t>
  </x:si>
  <x:si>
    <x:t xml:space="preserve">데이터 스키마와 저장 키를 Day1에 고정하고 JSON 직렬화/역직렬화 유틸을 공통화</x:t>
  </x:si>
  <x:si>
    <x:t xml:space="preserve">비밀번호 기반 수정·삭제</x:t>
  </x:si>
  <x:si>
    <x:t xml:space="preserve">수정·삭제 요청 시 저장된 비밀번호와 프론트엔드에서 일치 여부를 비교하며 암호화하지 않음</x:t>
  </x:si>
  <x:si>
    <x:t xml:space="preserve">교육 목적의 의도된 설계. 실무 보안 방식으로 오해하지 않도록 문서에 명시</x:t>
  </x:si>
  <x:si>
    <x:t xml:space="preserve">커뮤니티 CRUD</x:t>
  </x:si>
  <x:si>
    <x:t xml:space="preserve">서울 권역 카테고리 게시판의 목록·상세·작성·수정·삭제를 Vue 컴포넌트와 localStorage로 구현</x:t>
  </x:si>
  <x:si>
    <x:t xml:space="preserve">III-2-다</x:t>
  </x:si>
  <x:si>
    <x:t xml:space="preserve">라우트, 컴포넌트, 저장 유틸을 분리하되 3일 일정에 맞춰 과도한 구조화는 피함</x:t>
  </x:si>
  <x:si>
    <x:t xml:space="preserve">서울 지역 정보 질의응답</x:t>
  </x:si>
  <x:si>
    <x:t xml:space="preserve">제공 JSON을 근거로 서울 관광지 추천, 축제 일정, 음식점·문화시설 위치, 커뮤니티 게시글 검색 등 주요 질문에 응답</x:t>
  </x:si>
  <x:si>
    <x:t xml:space="preserve">III-3-가·나</x:t>
  </x:si>
  <x:si>
    <x:t xml:space="preserve">질문마다 전체 JSON을 무조건 전송하지 말고 필요한 항목을 선별해 컨텍스트 크기를 제한</x:t>
  </x:si>
  <x:si>
    <x:t xml:space="preserve">챗봇 UI</x:t>
  </x:si>
  <x:si>
    <x:t xml:space="preserve">대화 히스토리 유지, 모바일 대응, 우측 하단 플로팅 형태의 채팅 UI 구현</x:t>
  </x:si>
  <x:si>
    <x:t xml:space="preserve">III-3-다, IV-참고4-⑤</x:t>
  </x:si>
  <x:si>
    <x:t xml:space="preserve">모바일에서는 전체 화면 전환, 입력 중 로딩·오류·재시도 상태를 포함</x:t>
  </x:si>
  <x:si>
    <x:t xml:space="preserve">Vue.js 3 SPA</x:t>
  </x:si>
  <x:si>
    <x:t xml:space="preserve">Vue.js 3과 Vite를 사용한 프론트엔드 단일 정적 SPA 구조</x:t>
  </x:si>
  <x:si>
    <x:t xml:space="preserve">II-2, III-4-가</x:t>
  </x:si>
  <x:si>
    <x:t xml:space="preserve">서버·DB·SSR 없이 정적 배포 가능한 구조 유지</x:t>
  </x:si>
  <x:si>
    <x:t xml:space="preserve">Netlify 배포</x:t>
  </x:si>
  <x:si>
    <x:t xml:space="preserve">필수 산출물 제출</x:t>
  </x:si>
  <x:si>
    <x:t xml:space="preserve">소스코드 Git Repository URL, Netlify URL, 기능 명세서, WBS, 발표 PPT/PDF를 SSAFY GitLab에 제출</x:t>
  </x:si>
  <x:si>
    <x:t xml:space="preserve">II-3, IV-참고1</x:t>
  </x:si>
  <x:si>
    <x:t xml:space="preserve">기능만 완성하고 문서·발표물을 누락하면 미완료 처리되므로 Day3 작업으로 명시</x:t>
  </x:si>
  <x:si>
    <x:t xml:space="preserve">Should</x:t>
  </x:si>
  <x:si>
    <x:t xml:space="preserve">데이터 시각화 대시보드</x:t>
  </x:si>
  <x:si>
    <x:t xml:space="preserve">Chart.js로 서울 제공 JSON과 localStorage 데이터를 집계해 카테고리별 정보 수, 게시글 수, 인기 항목 등 핵심 통계를 시각화</x:t>
  </x:si>
  <x:si>
    <x:t xml:space="preserve">IV-참고2</x:t>
  </x:si>
  <x:si>
    <x:t xml:space="preserve">1순위 선택기능. JSON에 인기 기준 필드가 없으면 카테고리·지역별 콘텐츠 수 또는 게시글 통계로 대체</x:t>
  </x:si>
  <x:si>
    <x:t xml:space="preserve">Could</x:t>
  </x:si>
  <x:si>
    <x:t xml:space="preserve">커뮤니티 게시판 추가기능</x:t>
  </x:si>
  <x:si>
    <x:t xml:space="preserve">게시글 검색, 조회수, 좋아요, 북마크 기능으로 기존 CRUD를 확장</x:t>
  </x:si>
  <x:si>
    <x:t xml:space="preserve">예비 1순위. 필수기능과 대시보드가 조기 완료된 경우에만 구현</x:t>
  </x:si>
  <x:si>
    <x:t xml:space="preserve">축제 캘린더</x:t>
  </x:si>
  <x:si>
    <x:t xml:space="preserve">서울 축제 일정을 FullCalendar 또는 단순 월·목록형으로 시각화</x:t>
  </x:si>
  <x:si>
    <x:t xml:space="preserve">예비 2순위. 날짜 필드 정합성과 라이브러리 통합 시간을 확인한 뒤 착수</x:t>
  </x:si>
  <x:si>
    <x:t xml:space="preserve">제약</x:t>
  </x:si>
  <x:si>
    <x:t xml:space="preserve">추가 데이터 라이선스 확인</x:t>
  </x:si>
  <x:si>
    <x:t xml:space="preserve">제공 JSON 외 데이터를 쓸 경우 라이선스와 공공누리 1~4유형, 상업적·서비스 활용 가능 여부를 사전 확인</x:t>
  </x:si>
  <x:si>
    <x:t xml:space="preserve">II-2, III-1-나</x:t>
  </x:si>
  <x:si>
    <x:t xml:space="preserve">추가 수집은 원칙적으로 피하고 필요 시 출처·라이선스·수집일을 기능명세서에 기록</x:t>
  </x:si>
  <x:si>
    <x:t xml:space="preserve">활용 데이터 목록 문서화</x:t>
  </x:si>
  <x:si>
    <x:t xml:space="preserve">출처·라이선스·수집일을 포함한 활용 데이터 목록을 기능 명세서에 별도 항목으로 포함</x:t>
  </x:si>
  <x:si>
    <x:t xml:space="preserve">III-1-다, IV-참고1</x:t>
  </x:si>
  <x:si>
    <x:t xml:space="preserve">서울 제공 JSON도 파일명·제공처·라이선스·수집일을 확인해 표로 정리</x:t>
  </x:si>
  <x:si>
    <x:t xml:space="preserve">외부 서비스 비용 한도</x:t>
  </x:si>
  <x:si>
    <x:t xml:space="preserve">당사가 제공한 API 키 범위에서 운영하며 정해진 예산을 초과할 수 없음</x:t>
  </x:si>
  <x:si>
    <x:t xml:space="preserve">II-2</x:t>
  </x:si>
  <x:si>
    <x:t xml:space="preserve">OpenAI 요청 횟수·토큰 길이를 제한하고 반복 호출 방지 UI 적용</x:t>
  </x:si>
  <x:si>
    <x:t xml:space="preserve">허용 개발도구 제한</x:t>
  </x:si>
  <x:si>
    <x:t xml:space="preserve">VSCode Copilot + OpenAI API KEY 조합만 허용</x:t>
  </x:si>
  <x:si>
    <x:t xml:space="preserve">III-6-가</x:t>
  </x:si>
  <x:si>
    <x:t xml:space="preserve">팀 전원 개발 환경과 사용 도구를 착수 전에 통일</x:t>
  </x:si>
  <x:si>
    <x:t xml:space="preserve">기타 AI 코딩 도구 금지</x:t>
  </x:si>
  <x:si>
    <x:t xml:space="preserve">Claude Code, Codex, Cursor, Antigravity 등 기타 AI 코딩 도구 사용 금지</x:t>
  </x:si>
  <x:si>
    <x:t xml:space="preserve">III-6-나</x:t>
  </x:si>
  <x:si>
    <x:t xml:space="preserve">위반 위험이 있으므로 코드·커밋·발표 과정에서도 사용하지 않음</x:t>
  </x:si>
  <x:si>
    <x:t xml:space="preserve">.env 저장소 제외</x:t>
  </x:si>
  <x:si>
    <x:t xml:space="preserve">소스코드 제출 시 .env 파일이 포함되지 않았는지 반드시 확인</x:t>
  </x:si>
  <x:si>
    <x:t xml:space="preserve">IV-참고1</x:t>
  </x:si>
  <x:si>
    <x:t xml:space="preserve">.gitignore 등록과 GitLab 파일 목록을 제출 직전에 재확인</x:t>
  </x:si>
  <x:si>
    <x:t xml:space="preserve">브라우저·기기 종속</x:t>
  </x:si>
  <x:si>
    <x:t xml:space="preserve">localStorage 게시글은 작성한 브라우저와 기기에서만 저장되며 다른 사용자와 공유되지 않음</x:t>
  </x:si>
  <x:si>
    <x:t xml:space="preserve">III-2-나 주의</x:t>
  </x:si>
  <x:si>
    <x:t xml:space="preserve">게시글 수·조회수·좋아요 등 대시보드 통계도 같은 브라우저 데이터 기준임을 명시</x:t>
  </x:si>
  <x:si>
    <x:t xml:space="preserve">납기 및 범위 동결</x:t>
  </x:si>
  <x:si>
    <x:t xml:space="preserve">2026-07-16(목) 15:00까지 제출하며 개발 착수 이후 기능 요구사항 변경은 없음</x:t>
  </x:si>
  <x:si>
    <x:t xml:space="preserve">II-3, V-5</x:t>
  </x:si>
  <x:si>
    <x:t xml:space="preserve">Day3 오전 기능 동결, 오후는 제출·발표 버퍼로 사용</x:t>
  </x:si>
  <x:si>
    <x:t xml:space="preserve">Won't</x:t>
  </x:si>
  <x:si>
    <x:t xml:space="preserve">이번 선택기능 제외</x:t>
  </x:si>
  <x:si>
    <x:t xml:space="preserve">지도 시각화, 경로 안내, 날씨 정보, 실시간 알림, 다국어, 소셜 공유는 이번 MVP에서 구현하지 않음</x:t>
  </x:si>
  <x:si>
    <x:t xml:space="preserve">3일 일정과 외부 API·SDK·번역·테스트 부담을 고려해 제외</x:t>
  </x:si>
  <x:si>
    <x:t xml:space="preserve">선택기능 아이디어 도출 및 평가</x:t>
  </x:si>
  <x:si>
    <x:t xml:space="preserve">평가기준: 구현난이도 1~5(낮을수록 쉬움), 실현가능성 = 6-난이도, 임팩트 1~5, 종합점수 = 실현가능성×임팩트×2 (50점 만점). 필수기능 완성 가능성을 최우선으로 평가.</x:t>
  </x:si>
  <x:si>
    <x:t xml:space="preserve">선택기능</x:t>
  </x:si>
  <x:si>
    <x:t xml:space="preserve">설명</x:t>
  </x:si>
  <x:si>
    <x:t xml:space="preserve">구현난이도
(1~5)</x:t>
  </x:si>
  <x:si>
    <x:t xml:space="preserve">실현가능성
(1~5)</x:t>
  </x:si>
  <x:si>
    <x:t xml:space="preserve">임팩트
(1~5)</x:t>
  </x:si>
  <x:si>
    <x:t xml:space="preserve">종합점수
(자동)</x:t>
  </x:si>
  <x:si>
    <x:t xml:space="preserve">선정여부</x:t>
  </x:si>
  <x:si>
    <x:t xml:space="preserve">지도 시각화</x:t>
  </x:si>
  <x:si>
    <x:t xml:space="preserve">Leaflet.js 또는 Kakao Maps로 서울 관광지·맛집 핀과 카테고리 필터 표시</x:t>
  </x:si>
  <x:si>
    <x:t xml:space="preserve">제외</x:t>
  </x:si>
  <x:si>
    <x:t xml:space="preserve">Chart.js로 서울 카테고리별 정보 수, 게시글 수, 인기 항목 등 핵심 통계를 시각화</x:t>
  </x:si>
  <x:si>
    <x:t xml:space="preserve">선정</x:t>
  </x:si>
  <x:si>
    <x:t xml:space="preserve">제공 JSON의 서울 축제 시작·종료일을 FullCalendar 또는 월·목록 형태로 시각화</x:t>
  </x:si>
  <x:si>
    <x:t xml:space="preserve">예비 2</x:t>
  </x:si>
  <x:si>
    <x:t xml:space="preserve">경로 안내</x:t>
  </x:si>
  <x:si>
    <x:t xml:space="preserve">복수 장소를 선택하고 지도 위에 이동 경로를 표시</x:t>
  </x:si>
  <x:si>
    <x:t xml:space="preserve">날씨 정보 연동</x:t>
  </x:si>
  <x:si>
    <x:t xml:space="preserve">외부 날씨 API로 현재 날씨와 여행 적합 여부 표시</x:t>
  </x:si>
  <x:si>
    <x:t xml:space="preserve">실시간 알림</x:t>
  </x:si>
  <x:si>
    <x:t xml:space="preserve">일정 주기로 localStorage를 확인해 새 게시글 알림 표시</x:t>
  </x:si>
  <x:si>
    <x:t xml:space="preserve">다국어 지원</x:t>
  </x:si>
  <x:si>
    <x:t xml:space="preserve">i18n을 적용해 한/영 UI와 서울 지역 정보 제공</x:t>
  </x:si>
  <x:si>
    <x:t xml:space="preserve">소셜 공유 연동</x:t>
  </x:si>
  <x:si>
    <x:t xml:space="preserve">링크 복사·공유 버튼과 OG 메타데이터 구성</x:t>
  </x:si>
  <x:si>
    <x:t xml:space="preserve">게시글 검색, 조회수, 좋아요, 북마크를 localStorage로 구현</x:t>
  </x:si>
  <x:si>
    <x:t xml:space="preserve">예비 1</x:t>
  </x:si>
  <x:si>
    <x:t xml:space="preserve">선정 결과</x:t>
  </x:si>
  <x:si>
    <x:t xml:space="preserve">1순위: 데이터 시각화 대시보드
선정 이유: Chart.js를 사용하면 제공 JSON과 localStorage 데이터를 바로 집계해 카테고리별 정보 수, 게시글 수, 인기 항목 등을 시각적으로 보여줄 수 있습니다. 구현 난이도가 비교적 낮고 발표 시 사용자 체감 효과가 크며, 서울 지역 정보 서비스의 핵심 가치를 한 화면에서 설명하기 좋습니다.
예비 1: 커뮤니티 게시판 추가기능 — 검색·조회수·좋아요·북마크로 기존 CRUD를 확장합니다.
예비 2: 축제 캘린더 — 필수기능과 대시보드 완료 후 시간이 남으면 서울 축제 일정을 달력 또는 월·목록형으로 추가합니다.</x:t>
  </x:si>
  <x:si>
    <x:t xml:space="preserve">LocalHub WBS + 간트차트 (2026-07-14 ~ 2026-07-16 15:00)</x:t>
  </x:si>
  <x:si>
    <x:t xml:space="preserve">Day1(7/14): 서울 데이터·설계·기반구축 / Day2(7/15): 지역정보·CRUD·챗봇·대시보드 개발 / Day3(7/16): 오전 기능 동결·배포·테스트, 오후 문서·발표·제출</x:t>
  </x:si>
  <x:si>
    <x:t xml:space="preserve">No</x:t>
  </x:si>
  <x:si>
    <x:t xml:space="preserve">대분류</x:t>
  </x:si>
  <x:si>
    <x:t xml:space="preserve">작업명</x:t>
  </x:si>
  <x:si>
    <x:t xml:space="preserve">담당</x:t>
  </x:si>
  <x:si>
    <x:t xml:space="preserve">시작
(Day)</x:t>
  </x:si>
  <x:si>
    <x:t xml:space="preserve">종료
(Day)</x:t>
  </x:si>
  <x:si>
    <x:t xml:space="preserve">소요일</x:t>
  </x:si>
  <x:si>
    <x:t xml:space="preserve">진행률(%)</x:t>
  </x:si>
  <x:si>
    <x:t xml:space="preserve">상태</x:t>
  </x:si>
  <x:si>
    <x:t xml:space="preserve">기획</x:t>
  </x:si>
  <x:si>
    <x:t xml:space="preserve">RFP 요구사항 분석·서울 권역·MVP 범위 확정</x:t>
  </x:si>
  <x:si>
    <x:t xml:space="preserve">예정</x:t>
  </x:si>
  <x:si>
    <x:t xml:space="preserve">서울 제공 JSON 구조·데이터 출처·라이선스 목록 작성</x:t>
  </x:si>
  <x:si>
    <x:t xml:space="preserve">설계</x:t>
  </x:si>
  <x:si>
    <x:t xml:space="preserve">화면 흐름·라우트·컴포넌트 구조 설계</x:t>
  </x:si>
  <x:si>
    <x:t xml:space="preserve">localStorage 게시글 스키마·비밀번호 검증·대시보드 집계 항목 설계</x:t>
  </x:si>
  <x:si>
    <x:t xml:space="preserve">개발</x:t>
  </x:si>
  <x:si>
    <x:t xml:space="preserve">Vue/Vite 프로젝트·Router·공통 레이아웃·서울 JSON 로더 구현</x:t>
  </x:si>
  <x:si>
    <x:t xml:space="preserve">서울 지역 정보 메인·카테고리 목록·상세 화면 구현</x:t>
  </x:si>
  <x:si>
    <x:t xml:space="preserve">익명 게시판 목록·상세·작성·수정·삭제·비밀번호 모달 구현</x:t>
  </x:si>
  <x:si>
    <x:t xml:space="preserve">1순위 선택기능: Chart.js 데이터 시각화 대시보드 구현</x:t>
  </x:si>
  <x:si>
    <x:t xml:space="preserve">모바일 반응형·로딩·빈 상태·오류 처리</x:t>
  </x:si>
  <x:si>
    <x:t xml:space="preserve">선택</x:t>
  </x:si>
  <x:si>
    <x:t xml:space="preserve">예비 기능 착수 판단: 커뮤니티 추가기능 → 축제 캘린더 순</x:t>
  </x:si>
  <x:si>
    <x:t xml:space="preserve">대기</x:t>
  </x:si>
  <x:si>
    <x:t xml:space="preserve">배포</x:t>
  </x:si>
  <x:si>
    <x:r>
      <x:rPr>
        <x:b/>
        <x:sz val="1000"/>
        <x:color rgb="FF222222"/>
        <x:rFont val="맑은 고딕"/>
        <x:family val="3"/>
      </x:rPr>
      <x:t xml:space="preserve">테스트</x:t>
    </x:r>
    <x:r>
      <x:rPr>
        <x:b/>
        <x:sz val="1000"/>
        <x:color rgb="FF222222"/>
        <x:rFont val="Noto Sans CJK SC"/>
        <x:family val="2"/>
      </x:rPr>
      <x:t xml:space="preserve">/문서</x:t>
    </x:r>
  </x:si>
  <x:si>
    <x:t xml:space="preserve">발표준비</x:t>
  </x:si>
  <x:si>
    <x:t xml:space="preserve">PPT·데모 시나리오·리허설·SSAFY GitLab 최종 제출</x:t>
  </x:si>
  <x:si>
    <x:t xml:space="preserve">대분류 범례</x:t>
  </x:si>
  <x:si>
    <x:t xml:space="preserve">테스트/문서</x:t>
  </x:si>
  <x:si>
    <x:t xml:space="preserve">쉬운 용어 사전</x:t>
  </x:si>
  <x:si>
    <x:t xml:space="preserve">비전공자 팀원이 기획서와 구현 내용을 이해할 때 참고하는 핵심 용어입니다.</x:t>
  </x:si>
  <x:si>
    <x:t xml:space="preserve">용어</x:t>
  </x:si>
  <x:si>
    <x:t xml:space="preserve">쉬운 설명</x:t>
  </x:si>
  <x:si>
    <x:t xml:space="preserve">이번 프로젝트에서의 의미</x:t>
  </x:si>
  <x:si>
    <x:t xml:space="preserve">RFP</x:t>
  </x:si>
  <x:si>
    <x:t xml:space="preserve">고객사가 만들 서비스와 조건을 적어 보내는 공식 개발 의뢰 문서</x:t>
  </x:si>
  <x:si>
    <x:t xml:space="preserve">기능·기술·금지사항·납기·산출물의 최우선 기준</x:t>
  </x:si>
  <x:si>
    <x:t xml:space="preserve">MVP</x:t>
  </x:si>
  <x:si>
    <x:t xml:space="preserve">핵심 기능만 담아 가장 빠르게 완성하는 최소 버전</x:t>
  </x:si>
  <x:si>
    <x:t xml:space="preserve">서울 지역 필수기능과 데이터 시각화 대시보드를 안정적으로 완성</x:t>
  </x:si>
  <x:si>
    <x:t xml:space="preserve">WBS</x:t>
  </x:si>
  <x:si>
    <x:t xml:space="preserve">전체 작업을 실행 가능한 작은 단위로 쪼갠 목록</x:t>
  </x:si>
  <x:si>
    <x:t xml:space="preserve">누가 언제 무엇을 끝낼지 역할과 일정을 명확히 함</x:t>
  </x:si>
  <x:si>
    <x:t xml:space="preserve">간트차트</x:t>
  </x:si>
  <x:si>
    <x:t xml:space="preserve">작업 기간을 막대로 표시하는 일정표</x:t>
  </x:si>
  <x:si>
    <x:t xml:space="preserve">Day1~Day3에 겹치는 작업과 마감 위험 확인</x:t>
  </x:si>
  <x:si>
    <x:t xml:space="preserve">MoSCoW</x:t>
  </x:si>
  <x:si>
    <x:t xml:space="preserve">Must·Should·Could·Won't로 요구 우선순위를 나누는 방법</x:t>
  </x:si>
  <x:si>
    <x:t xml:space="preserve">필수·1순위·예비·제외 범위를 팀이 합의</x:t>
  </x:si>
  <x:si>
    <x:t xml:space="preserve">CRUD</x:t>
  </x:si>
  <x:si>
    <x:t xml:space="preserve">생성·조회·수정·삭제의 네 가지 기본 데이터 기능</x:t>
  </x:si>
  <x:si>
    <x:t xml:space="preserve">익명 게시글 작성·목록/상세·수정·삭제</x:t>
  </x:si>
  <x:si>
    <x:t xml:space="preserve">SPA</x:t>
  </x:si>
  <x:si>
    <x:t xml:space="preserve">페이지 전체를 새로고침하지 않고 화면 일부를 바꾸는 웹 앱</x:t>
  </x:si>
  <x:si>
    <x:t xml:space="preserve">Vue Router 기반 정적 프론트엔드 구조</x:t>
  </x:si>
  <x:si>
    <x:t xml:space="preserve">Vue.js 3</x:t>
  </x:si>
  <x:si>
    <x:t xml:space="preserve">웹 화면을 컴포넌트 단위로 만드는 프론트엔드 프레임워크</x:t>
  </x:si>
  <x:si>
    <x:t xml:space="preserve">RFP에 지정된 필수 기술</x:t>
  </x:si>
  <x:si>
    <x:t xml:space="preserve">Vite</x:t>
  </x:si>
  <x:si>
    <x:t xml:space="preserve">프론트엔드 개발·빌드를 빠르게 해주는 도구</x:t>
  </x:si>
  <x:si>
    <x:t xml:space="preserve">Vue 프로젝트 실행과 Netlify 배포 빌드에 사용</x:t>
  </x:si>
  <x:si>
    <x:t xml:space="preserve">localStorage</x:t>
  </x:si>
  <x:si>
    <x:t xml:space="preserve">브라우저에 작은 데이터를 저장하는 기능</x:t>
  </x:si>
  <x:si>
    <x:t xml:space="preserve">게시글·비밀번호와 선택 구현 시 조회수·좋아요·북마크를 같은 브라우저에 저장</x:t>
  </x:si>
  <x:si>
    <x:t xml:space="preserve">Chart.js</x:t>
  </x:si>
  <x:si>
    <x:t xml:space="preserve">막대·원형·선 그래프 등을 쉽게 만드는 자바스크립트 라이브러리</x:t>
  </x:si>
  <x:si>
    <x:t xml:space="preserve">1순위 선택기능인 데이터 시각화 대시보드 구현에 사용</x:t>
  </x:si>
  <x:si>
    <x:t xml:space="preserve">여러 통계를 카드와 차트로 한 화면에 보여주는 화면</x:t>
  </x:si>
  <x:si>
    <x:t xml:space="preserve">카테고리별 정보 수, 게시글 수, 인기 항목 등을 빠르게 파악</x:t>
  </x:si>
  <x:si>
    <x:t xml:space="preserve">FullCalendar</x:t>
  </x:si>
  <x:si>
    <x:t xml:space="preserve">웹에서 달력 UI를 구현하는 외부 라이브러리</x:t>
  </x:si>
  <x:si>
    <x:t xml:space="preserve">예비 기능인 서울 축제 캘린더에 사용할 수 있음</x:t>
  </x:si>
  <x:si>
    <x:t xml:space="preserve">공공누리</x:t>
  </x:si>
  <x:si>
    <x:t xml:space="preserve">공공저작물의 이용 조건을 표시하는 제도</x:t>
  </x:si>
  <x:si>
    <x:t xml:space="preserve">추가 데이터의 사용·변경·상업 이용 가능 여부 확인</x:t>
  </x:si>
  <x:si>
    <x:t xml:space="preserve">스코프 크립</x:t>
  </x:si>
  <x:si>
    <x:t xml:space="preserve">진행 중 기능 범위가 조금씩 늘어나는 현상</x:t>
  </x:si>
  <x:si>
    <x:t xml:space="preserve">Won't have와 예비 기능 조건을 명시해 3일 일정 붕괴를 방지</x:t>
  </x:si>
</x:sst>
</file>

<file path=xl/styles.xml><?xml version="1.0" encoding="utf-8"?>
<x:styleSheet xmlns:x="http://schemas.openxmlformats.org/spreadsheetml/2006/main">
  <x:numFmts count="1">
    <x:numFmt numFmtId="176" formatCode="&quot;Day &quot;0"/>
  </x:numFmts>
  <x:fonts count="27">
    <x:font>
      <x:sz val="11"/>
      <x:name val="Carlito"/>
    </x:font>
    <x:font>
      <x:b/>
      <x:sz val="16"/>
      <x:color rgb="FFFFFFFF"/>
      <x:name val="맑은 고딕"/>
    </x:font>
    <x:font>
      <x:b/>
      <x:sz val="10"/>
      <x:color rgb="FF1F2937"/>
      <x:name val="맑은 고딕"/>
    </x:font>
    <x:font>
      <x:b/>
      <x:sz val="11"/>
      <x:color rgb="FFFFFFFF"/>
      <x:name val="맑은 고딕"/>
    </x:font>
    <x:font>
      <x:sz val="10"/>
      <x:color rgb="FF1F2937"/>
      <x:name val="맑은 고딕"/>
    </x:font>
    <x:font>
      <x:b/>
      <x:sz val="10"/>
      <x:color rgb="FF16324F"/>
      <x:name val="맑은 고딕"/>
    </x:font>
    <x:font>
      <x:sz val="11"/>
      <x:name val="Carlito"/>
    </x:font>
    <x:font>
      <x:sz val="8"/>
      <x:name val="돋움"/>
    </x:font>
    <x:font>
      <x:sz val="10"/>
      <x:name val="맑은 고딕"/>
    </x:font>
    <x:font>
      <x:b/>
      <x:sz val="10"/>
      <x:color rgb="FF222222"/>
      <x:name val="Noto Sans CJK SC"/>
    </x:font>
    <x:font>
      <x:b/>
      <x:sz val="10"/>
      <x:color rgb="FF222222"/>
      <x:name val="맑은 고딕"/>
    </x:font>
    <x:font>
      <x:b/>
      <x:sz val="10"/>
      <x:color rgb="FF222222"/>
      <x:name val="Noto Sans CJK SC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2"/>
      <x:color rgb="FFFFFFFF"/>
      <x:name val="Carlito"/>
    </x:font>
    <x:font>
      <x:b/>
      <x:sz val="11"/>
      <x:color rgb="FF0F5F58"/>
      <x:name val="Carlito"/>
    </x:font>
    <x:font>
      <x:b/>
      <x:sz val="11"/>
      <x:color rgb="FF17324D"/>
      <x:name val="Carlito"/>
    </x:font>
    <x:font>
      <x:b/>
      <x:sz val="15"/>
      <x:color rgb="FFFFFFFF"/>
      <x:name val="맑은 고딕"/>
    </x:font>
    <x:font>
      <x:b/>
      <x:sz val="12"/>
      <x:color rgb="FFFFFFFF"/>
      <x:name val="맑은 고딕"/>
    </x:font>
    <x:font>
      <x:i/>
      <x:sz val="10"/>
      <x:color rgb="FF17324D"/>
      <x:name val="맑은 고딕"/>
    </x:font>
    <x:font>
      <x:b/>
      <x:sz val="10"/>
      <x:color rgb="FF243746"/>
      <x:name val="맑은 고딕"/>
    </x:font>
    <x:font>
      <x:sz val="10"/>
      <x:color rgb="FF243746"/>
      <x:name val="맑은 고딕"/>
    </x:font>
    <x:font>
      <x:b/>
      <x:sz val="12"/>
      <x:color rgb="FF243746"/>
      <x:name val="맑은 고딕"/>
    </x:font>
    <x:font>
      <x:b/>
      <x:sz val="15"/>
      <x:color rgb="FFFFFFFF"/>
      <x:name val="Carlito"/>
    </x:font>
    <x:font>
      <x:b/>
      <x:sz val="11"/>
      <x:color rgb="FF243746"/>
      <x:name val="Carlito"/>
    </x:font>
    <x:font>
      <x:b/>
      <x:sz val="11"/>
      <x:color rgb="FFC81E1E"/>
      <x:name val="Carlito"/>
    </x:font>
    <x:font>
      <x:sz val="11"/>
      <x:color rgb="FF243746"/>
      <x:name val="Carlito"/>
    </x:font>
  </x:fonts>
  <x:fills count="3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F0EC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DCE6F1"/>
      </x:patternFill>
    </x:fill>
    <x:fill>
      <x:patternFill patternType="solid">
        <x:fgColor rgb="FFF4F8FB"/>
      </x:patternFill>
    </x:fill>
    <x:fill>
      <x:patternFill patternType="solid">
        <x:fgColor rgb="FFDCFCE7"/>
      </x:patternFill>
    </x:fill>
    <x:fill>
      <x:patternFill patternType="solid">
        <x:fgColor rgb="FF15803D"/>
      </x:patternFill>
    </x:fill>
    <x:fill>
      <x:patternFill patternType="solid">
        <x:fgColor rgb="FF64748B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FCE7F3"/>
      </x:patternFill>
    </x:fill>
    <x:fill>
      <x:patternFill patternType="solid">
        <x:fgColor rgb="FFCADCFC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  <x:fill>
      <x:patternFill patternType="solid">
        <x:fgColor rgb="FFE4D6F0"/>
      </x:patternFill>
    </x:fill>
    <x:fill>
      <x:patternFill patternType="solid">
        <x:fgColor rgb="FFF4CCCC"/>
      </x:patternFill>
    </x:fill>
    <x:fill>
      <x:patternFill patternType="solid">
        <x:fgColor rgb="FFF9E4B7"/>
      </x:patternFill>
    </x:fill>
    <x:fill>
      <x:patternFill patternType="solid">
        <x:fgColor rgb="FFFFFF00"/>
      </x:patternFill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16847A"/>
      </x:patternFill>
    </x:fill>
    <x:fill>
      <x:patternFill patternType="solid">
        <x:fgColor rgb="FFF1F8F7"/>
      </x:patternFill>
    </x:fill>
    <x:fill>
      <x:patternFill patternType="solid">
        <x:fgColor rgb="FFDCE7F2"/>
      </x:patternFill>
    </x:fill>
    <x:fill>
      <x:patternFill patternType="solid">
        <x:fgColor rgb="FFFFF1C7"/>
      </x:patternFill>
    </x:fill>
    <x:fill>
      <x:patternFill patternType="solid">
        <x:fgColor rgb="FFFDE2E2"/>
      </x:patternFill>
    </x:fill>
    <x:fill>
      <x:patternFill patternType="solid">
        <x:fgColor rgb="FFC81E1E"/>
      </x:patternFill>
    </x:fill>
    <x:fill>
      <x:patternFill patternType="solid">
        <x:fgColor rgb="FF17823B"/>
      </x:patternFill>
    </x:fill>
    <x:fill>
      <x:patternFill patternType="solid">
        <x:fgColor rgb="FF667A91"/>
      </x:patternFill>
    </x:fill>
    <x:fill>
      <x:patternFill patternType="solid">
        <x:fgColor rgb="FFF4F6F8"/>
      </x:patternFill>
    </x:fill>
    <x:fill>
      <x:patternFill patternType="solid">
        <x:fgColor rgb="FFD8F0ED"/>
      </x:patternFill>
    </x:fill>
    <x:fill>
      <x:patternFill patternType="solid">
        <x:fgColor rgb="FFFFFFFF"/>
      </x:patternFill>
    </x:fill>
    <x:fill>
      <x:patternFill patternType="solid">
        <x:fgColor rgb="FFD6F6DE"/>
      </x:patternFill>
    </x:fill>
  </x:fills>
  <x:borders count="5">
    <x:border/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2">
    <x:xf numFmtId="0" fontId="0" fillId="0" borderId="0"/>
    <x:xf numFmtId="0" fontId="6" fillId="0" borderId="0"/>
  </x:cellStyleXfs>
  <x:cellXfs count="256">
    <x:xf numFmtId="0" fontId="0" fillId="0" borderId="0" xfId="0"/>
    <x:xf numFmtId="0" fontId="2" fillId="3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2" fillId="5" borderId="0" xfId="1" applyFont="1" applyFill="1" applyAlignment="1">
      <x:alignment horizontal="center" vertical="center" wrapText="1"/>
    </x:xf>
    <x:xf numFmtId="0" fontId="4" fillId="7" borderId="0" xfId="1" applyFont="1" applyFill="1" applyAlignment="1">
      <x:alignment vertical="center" wrapText="1"/>
    </x:xf>
    <x:xf numFmtId="0" fontId="4" fillId="0" borderId="0" xfId="1" applyFont="1" applyAlignment="1">
      <x:alignment vertical="center"/>
    </x:xf>
    <x:xf numFmtId="0" fontId="4" fillId="0" borderId="0" xfId="1" applyFont="1" applyAlignment="1">
      <x:alignment vertical="center" wrapText="1"/>
    </x:xf>
    <x:xf numFmtId="0" fontId="2" fillId="8" borderId="0" xfId="1" applyFont="1" applyFill="1" applyAlignment="1">
      <x:alignment horizontal="center" vertical="center" wrapText="1"/>
    </x:xf>
    <x:xf numFmtId="0" fontId="4" fillId="9" borderId="0" xfId="1" applyFont="1" applyFill="1" applyAlignment="1">
      <x:alignment vertical="center" wrapText="1"/>
    </x:xf>
    <x:xf numFmtId="0" fontId="2" fillId="0" borderId="0" xfId="1" applyFont="1" applyAlignment="1">
      <x:alignment vertical="center" wrapText="1"/>
    </x:xf>
    <x:xf numFmtId="0" fontId="4" fillId="0" borderId="0" xfId="1" applyFont="1" applyAlignment="1">
      <x:alignment horizontal="center" vertical="center" wrapText="1"/>
    </x:xf>
    <x:xf numFmtId="0" fontId="2" fillId="10" borderId="0" xfId="1" applyFont="1" applyFill="1" applyAlignment="1">
      <x:alignment horizontal="center" vertical="center" wrapText="1"/>
    </x:xf>
    <x:xf numFmtId="176" fontId="2" fillId="8" borderId="0" xfId="1" applyNumberFormat="1" applyFont="1" applyFill="1" applyAlignment="1">
      <x:alignment horizontal="center" vertical="center" wrapText="1"/>
    </x:xf>
    <x:xf numFmtId="1" fontId="4" fillId="0" borderId="0" xfId="1" applyNumberFormat="1" applyFont="1" applyAlignment="1">
      <x:alignment horizontal="center" vertical="center" wrapText="1"/>
    </x:xf>
    <x:xf numFmtId="0" fontId="4" fillId="0" borderId="0" xfId="1" applyFont="1" applyAlignment="1">
      <x:alignment horizontal="center" vertical="center"/>
    </x:xf>
    <x:xf numFmtId="0" fontId="2" fillId="3" borderId="0" xfId="1" applyFont="1" applyFill="1" applyAlignment="1">
      <x:alignment vertical="center"/>
    </x:xf>
    <x:xf numFmtId="0" fontId="4" fillId="3" borderId="0" xfId="1" applyFont="1" applyFill="1" applyAlignment="1">
      <x:alignment vertical="center"/>
    </x:xf>
    <x:xf numFmtId="0" fontId="2" fillId="5" borderId="0" xfId="1" applyFont="1" applyFill="1" applyAlignment="1">
      <x:alignment vertical="center"/>
    </x:xf>
    <x:xf numFmtId="0" fontId="4" fillId="5" borderId="0" xfId="1" applyFont="1" applyFill="1" applyAlignment="1">
      <x:alignment vertical="center"/>
    </x:xf>
    <x:xf numFmtId="0" fontId="2" fillId="10" borderId="0" xfId="1" applyFont="1" applyFill="1" applyAlignment="1">
      <x:alignment vertical="center"/>
    </x:xf>
    <x:xf numFmtId="0" fontId="4" fillId="10" borderId="0" xfId="1" applyFont="1" applyFill="1" applyAlignment="1">
      <x:alignment vertical="center"/>
    </x:xf>
    <x:xf numFmtId="0" fontId="2" fillId="14" borderId="0" xfId="1" applyFont="1" applyFill="1" applyAlignment="1">
      <x:alignment vertical="center"/>
    </x:xf>
    <x:xf numFmtId="0" fontId="4" fillId="14" borderId="0" xfId="1" applyFont="1" applyFill="1" applyAlignment="1">
      <x:alignment vertical="center"/>
    </x:xf>
    <x:xf numFmtId="0" fontId="2" fillId="7" borderId="0" xfId="1" applyFont="1" applyFill="1" applyAlignment="1">
      <x:alignment vertical="center"/>
    </x:xf>
    <x:xf numFmtId="0" fontId="4" fillId="7" borderId="0" xfId="1" applyFont="1" applyFill="1" applyAlignment="1">
      <x:alignment vertical="center"/>
    </x:xf>
    <x:xf numFmtId="0" fontId="2" fillId="15" borderId="0" xfId="1" applyFont="1" applyFill="1" applyAlignment="1">
      <x:alignment vertical="center"/>
    </x:xf>
    <x:xf numFmtId="0" fontId="4" fillId="15" borderId="0" xfId="1" applyFont="1" applyFill="1" applyAlignment="1">
      <x:alignment vertical="center"/>
    </x:xf>
    <x:xf numFmtId="0" fontId="2" fillId="16" borderId="0" xfId="1" applyFont="1" applyFill="1" applyAlignment="1">
      <x:alignment vertical="center"/>
    </x:xf>
    <x:xf numFmtId="0" fontId="4" fillId="16" borderId="0" xfId="1" applyFont="1" applyFill="1" applyAlignment="1">
      <x:alignment vertical="center"/>
    </x:xf>
    <x:xf numFmtId="0" fontId="5" fillId="0" borderId="0" xfId="1" applyFont="1" applyAlignment="1">
      <x:alignment vertical="center" wrapText="1"/>
    </x:xf>
    <x:xf numFmtId="0" fontId="8" fillId="0" borderId="1" xfId="1" applyFont="1" applyBorder="1" applyAlignment="1">
      <x:alignment vertical="center" wrapText="1"/>
    </x:xf>
    <x:xf numFmtId="0" fontId="4" fillId="0" borderId="0" xfId="1" applyFont="1" applyAlignment="1">
      <x:alignment horizontal="center" vertical="center" wrapText="1"/>
    </x:xf>
    <x:xf numFmtId="0" fontId="9" fillId="17" borderId="2" xfId="0" applyFont="1" applyFill="1" applyBorder="1" applyAlignment="1">
      <x:alignment horizontal="center" vertical="center" wrapText="1"/>
    </x:xf>
    <x:xf numFmtId="0" fontId="9" fillId="18" borderId="2" xfId="0" applyFont="1" applyFill="1" applyBorder="1" applyAlignment="1">
      <x:alignment horizontal="center" vertical="center" wrapText="1"/>
    </x:xf>
    <x:xf numFmtId="0" fontId="9" fillId="19" borderId="2" xfId="0" applyFont="1" applyFill="1" applyBorder="1" applyAlignment="1">
      <x:alignment horizontal="center" vertical="center" wrapText="1"/>
    </x:xf>
    <x:xf numFmtId="0" fontId="9" fillId="20" borderId="2" xfId="0" applyFont="1" applyFill="1" applyBorder="1" applyAlignment="1">
      <x:alignment horizontal="center" vertical="center" wrapText="1"/>
    </x:xf>
    <x:xf numFmtId="0" fontId="11" fillId="21" borderId="2" xfId="0" applyFont="1" applyFill="1" applyBorder="1" applyAlignment="1">
      <x:alignment horizontal="center" vertical="center" wrapText="1"/>
    </x:xf>
    <x:xf numFmtId="0" fontId="9" fillId="22" borderId="2" xfId="0" applyFont="1" applyFill="1" applyBorder="1" applyAlignment="1">
      <x:alignment horizontal="center" vertical="center" wrapText="1"/>
    </x:xf>
    <x:xf numFmtId="0" fontId="1" fillId="2" borderId="0" xfId="1" applyFont="1" applyFill="1" applyAlignment="1">
      <x:alignment horizontal="left" vertical="center" wrapText="1"/>
    </x:xf>
    <x:xf numFmtId="0" fontId="3" fillId="4" borderId="0" xfId="1" applyFont="1" applyFill="1" applyAlignment="1">
      <x:alignment horizontal="left" vertical="center" wrapText="1"/>
    </x:xf>
    <x:xf numFmtId="0" fontId="3" fillId="6" borderId="0" xfId="1" applyFont="1" applyFill="1" applyAlignment="1">
      <x:alignment horizontal="left" vertical="center" wrapText="1"/>
    </x:xf>
    <x:xf numFmtId="0" fontId="4" fillId="9" borderId="0" xfId="1" applyFont="1" applyFill="1" applyAlignment="1">
      <x:alignment vertical="center" wrapText="1"/>
    </x:xf>
    <x:xf numFmtId="0" fontId="4" fillId="10" borderId="0" xfId="1" applyFont="1" applyFill="1" applyAlignment="1">
      <x:alignment vertical="center" wrapText="1"/>
    </x:xf>
    <x:xf numFmtId="0" fontId="4" fillId="13" borderId="0" xfId="1" applyFont="1" applyFill="1" applyAlignment="1">
      <x:alignment vertical="center" wrapText="1"/>
    </x:xf>
    <x:xf numFmtId="0" fontId="4" fillId="0" borderId="0" xfId="1" applyFont="1" applyAlignment="1">
      <x:alignment horizontal="center" vertical="center" wrapText="1"/>
    </x:xf>
    <x:xf numFmtId="0" fontId="3" fillId="11" borderId="0" xfId="1" applyFont="1" applyFill="1" applyAlignment="1">
      <x:alignment horizontal="left" vertical="center" wrapText="1"/>
    </x:xf>
    <x:xf numFmtId="0" fontId="3" fillId="12" borderId="0" xfId="1" applyFont="1" applyFill="1" applyAlignment="1">
      <x:alignment horizontal="left" vertical="center" wrapText="1"/>
    </x:xf>
    <x:xf numFmtId="0" fontId="4" fillId="0" borderId="0" xfId="1" applyFont="1" applyAlignment="1">
      <x:alignment horizontal="left" vertical="center" wrapText="1"/>
    </x:xf>
    <x:xf numFmtId="0" fontId="4" fillId="23" borderId="0" xfId="1" applyFont="1" applyFill="1" applyAlignment="1">
      <x:alignment vertical="center" wrapText="1"/>
    </x:xf>
    <x:xf numFmtId="0" fontId="0" fillId="0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176" fontId="2" fillId="8" borderId="3" xfId="0" applyNumberFormat="1" applyFont="1" applyFill="1" applyBorder="1" applyAlignment="1">
      <x:alignment horizontal="center" vertical="center" wrapText="1"/>
    </x:xf>
    <x:xf numFmtId="1" fontId="4" fillId="0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2" fillId="10" borderId="3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vertical="center"/>
    </x:xf>
    <x:xf numFmtId="0" fontId="2" fillId="14" borderId="3" xfId="0" applyNumberFormat="1" applyFont="1" applyFill="1" applyBorder="1" applyAlignment="1">
      <x:alignment vertical="center"/>
    </x:xf>
    <x:xf numFmtId="0" fontId="4" fillId="14" borderId="3" xfId="0" applyNumberFormat="1" applyFont="1" applyFill="1" applyBorder="1" applyAlignment="1">
      <x:alignment vertical="center"/>
    </x:xf>
    <x:xf numFmtId="0" fontId="2" fillId="7" borderId="3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0" fontId="2" fillId="15" borderId="3" xfId="0" applyNumberFormat="1" applyFont="1" applyFill="1" applyBorder="1" applyAlignment="1">
      <x:alignment vertical="center"/>
    </x:xf>
    <x:xf numFmtId="0" fontId="4" fillId="15" borderId="3" xfId="0" applyNumberFormat="1" applyFont="1" applyFill="1" applyBorder="1" applyAlignment="1">
      <x:alignment vertical="center"/>
    </x:xf>
    <x:xf numFmtId="0" fontId="2" fillId="16" borderId="3" xfId="0" applyNumberFormat="1" applyFont="1" applyFill="1" applyBorder="1" applyAlignment="1">
      <x:alignment vertical="center"/>
    </x:xf>
    <x:xf numFmtId="0" fontId="4" fillId="16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9" fillId="17" borderId="4" xfId="0" applyNumberFormat="1" applyFont="1" applyFill="1" applyBorder="1" applyAlignment="1">
      <x:alignment horizontal="center" vertical="center" wrapText="1"/>
    </x:xf>
    <x:xf numFmtId="0" fontId="9" fillId="18" borderId="4" xfId="0" applyNumberFormat="1" applyFont="1" applyFill="1" applyBorder="1" applyAlignment="1">
      <x:alignment horizontal="center" vertical="center" wrapText="1"/>
    </x:xf>
    <x:xf numFmtId="0" fontId="9" fillId="19" borderId="4" xfId="0" applyNumberFormat="1" applyFont="1" applyFill="1" applyBorder="1" applyAlignment="1">
      <x:alignment horizontal="center" vertical="center" wrapText="1"/>
    </x:xf>
    <x:xf numFmtId="0" fontId="9" fillId="20" borderId="4" xfId="0" applyNumberFormat="1" applyFont="1" applyFill="1" applyBorder="1" applyAlignment="1">
      <x:alignment horizontal="center" vertical="center" wrapText="1"/>
    </x:xf>
    <x:xf numFmtId="0" fontId="9" fillId="21" borderId="4" xfId="0" applyNumberFormat="1" applyFont="1" applyFill="1" applyBorder="1" applyAlignment="1">
      <x:alignment horizontal="center" vertical="center" wrapText="1"/>
    </x:xf>
    <x:xf numFmtId="0" fontId="9" fillId="22" borderId="4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3" fillId="6" borderId="3" xfId="0" applyNumberFormat="1" applyFont="1" applyFill="1" applyBorder="1" applyAlignment="1">
      <x:alignment horizontal="left"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4" fillId="13" borderId="3" xfId="0" applyNumberFormat="1" applyFont="1" applyFill="1" applyBorder="1" applyAlignment="1">
      <x:alignment vertical="center" wrapText="1"/>
    </x:xf>
    <x:xf numFmtId="0" fontId="3" fillId="11" borderId="3" xfId="0" applyNumberFormat="1" applyFont="1" applyFill="1" applyBorder="1" applyAlignment="1">
      <x:alignment horizontal="left" vertical="center" wrapText="1"/>
    </x:xf>
    <x:xf numFmtId="0" fontId="3" fillId="12" borderId="3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4" fillId="23" borderId="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2" fillId="24" borderId="0" xfId="0" applyNumberFormat="1" applyFont="1" applyFill="1" applyBorder="1"/>
    <x:xf numFmtId="0" fontId="12" fillId="24" borderId="0" xfId="0" applyNumberFormat="1" applyFont="1" applyFill="1" applyBorder="1" applyAlignment="1">
      <x:alignment horizontal="center"/>
    </x:xf>
    <x:xf numFmtId="0" fontId="12" fillId="24" borderId="0" xfId="0" applyNumberFormat="1" applyFont="1" applyFill="1" applyBorder="1" applyAlignment="1">
      <x:alignment horizontal="center" vertical="center"/>
    </x:xf>
    <x:xf numFmtId="0" fontId="0" fillId="24" borderId="3" xfId="0" applyNumberFormat="1" applyFont="1" applyFill="1" applyBorder="1"/>
    <x:xf numFmtId="0" fontId="12" fillId="24" borderId="3" xfId="0" applyNumberFormat="1" applyFont="1" applyFill="1" applyBorder="1"/>
    <x:xf numFmtId="0" fontId="12" fillId="24" borderId="3" xfId="0" applyNumberFormat="1" applyFont="1" applyFill="1" applyBorder="1" applyAlignment="1">
      <x:alignment horizontal="center"/>
    </x:xf>
    <x:xf numFmtId="0" fontId="12" fillId="24" borderId="3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0" xfId="0" applyNumberFormat="1" applyFont="1" applyFill="1" applyBorder="1" applyAlignment="1">
      <x:alignment wrapText="1"/>
    </x:xf>
    <x:xf numFmtId="0" fontId="13" fillId="25" borderId="0" xfId="0" applyNumberFormat="1" applyFont="1" applyFill="1" applyBorder="1" applyAlignment="1">
      <x:alignment horizontal="left" wrapText="1"/>
    </x:xf>
    <x:xf numFmtId="0" fontId="13" fillId="25" borderId="0" xfId="0" applyNumberFormat="1" applyFont="1" applyFill="1" applyBorder="1" applyAlignment="1">
      <x:alignment horizontal="left" vertical="center" wrapText="1"/>
    </x:xf>
    <x:xf numFmtId="0" fontId="0" fillId="25" borderId="3" xfId="0" applyNumberFormat="1" applyFont="1" applyFill="1" applyBorder="1"/>
    <x:xf numFmtId="0" fontId="13" fillId="25" borderId="3" xfId="0" applyNumberFormat="1" applyFont="1" applyFill="1" applyBorder="1"/>
    <x:xf numFmtId="0" fontId="13" fillId="25" borderId="3" xfId="0" applyNumberFormat="1" applyFont="1" applyFill="1" applyBorder="1" applyAlignment="1">
      <x:alignment wrapText="1"/>
    </x:xf>
    <x:xf numFmtId="0" fontId="13" fillId="25" borderId="3" xfId="0" applyNumberFormat="1" applyFont="1" applyFill="1" applyBorder="1" applyAlignment="1">
      <x:alignment horizontal="left" wrapText="1"/>
    </x:xf>
    <x:xf numFmtId="0" fontId="13" fillId="25" borderId="3" xfId="0" applyNumberFormat="1" applyFont="1" applyFill="1" applyBorder="1" applyAlignment="1">
      <x:alignment horizontal="left" vertical="center" wrapText="1"/>
    </x:xf>
    <x:xf numFmtId="0" fontId="0" fillId="26" borderId="0" xfId="0" applyNumberFormat="1" applyFont="1" applyFill="1" applyBorder="1"/>
    <x:xf numFmtId="0" fontId="14" fillId="26" borderId="0" xfId="0" applyNumberFormat="1" applyFont="1" applyFill="1" applyBorder="1"/>
    <x:xf numFmtId="0" fontId="14" fillId="26" borderId="0" xfId="0" applyNumberFormat="1" applyFont="1" applyFill="1" applyBorder="1" applyAlignment="1">
      <x:alignment horizontal="left"/>
    </x:xf>
    <x:xf numFmtId="0" fontId="14" fillId="26" borderId="0" xfId="0" applyNumberFormat="1" applyFont="1" applyFill="1" applyBorder="1" applyAlignment="1">
      <x:alignment horizontal="left" vertical="center"/>
    </x:xf>
    <x:xf numFmtId="0" fontId="0" fillId="26" borderId="3" xfId="0" applyNumberFormat="1" applyFont="1" applyFill="1" applyBorder="1"/>
    <x:xf numFmtId="0" fontId="14" fillId="26" borderId="3" xfId="0" applyNumberFormat="1" applyFont="1" applyFill="1" applyBorder="1"/>
    <x:xf numFmtId="0" fontId="14" fillId="26" borderId="3" xfId="0" applyNumberFormat="1" applyFont="1" applyFill="1" applyBorder="1" applyAlignment="1">
      <x:alignment horizontal="left"/>
    </x:xf>
    <x:xf numFmtId="0" fontId="14" fillId="26" borderId="3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  <x:xf numFmtId="0" fontId="15" fillId="27" borderId="0" xfId="0" applyNumberFormat="1" applyFont="1" applyFill="1" applyBorder="1" applyAlignment="1">
      <x:alignment horizontal="center" wrapText="1"/>
    </x:xf>
    <x:xf numFmtId="0" fontId="15" fillId="27" borderId="0" xfId="0" applyNumberFormat="1" applyFont="1" applyFill="1" applyBorder="1" applyAlignment="1">
      <x:alignment horizontal="center" vertical="center" wrapText="1"/>
    </x:xf>
    <x:xf numFmtId="0" fontId="0" fillId="27" borderId="3" xfId="0" applyNumberFormat="1" applyFont="1" applyFill="1" applyBorder="1"/>
    <x:xf numFmtId="0" fontId="15" fillId="27" borderId="3" xfId="0" applyNumberFormat="1" applyFont="1" applyFill="1" applyBorder="1"/>
    <x:xf numFmtId="0" fontId="15" fillId="27" borderId="3" xfId="0" applyNumberFormat="1" applyFont="1" applyFill="1" applyBorder="1" applyAlignment="1">
      <x:alignment wrapText="1"/>
    </x:xf>
    <x:xf numFmtId="0" fontId="15" fillId="27" borderId="3" xfId="0" applyNumberFormat="1" applyFont="1" applyFill="1" applyBorder="1" applyAlignment="1">
      <x:alignment horizontal="center" wrapText="1"/>
    </x:xf>
    <x:xf numFmtId="0" fontId="15" fillId="27" borderId="3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16" fillId="28" borderId="0" xfId="0" applyNumberFormat="1" applyFont="1" applyFill="1" applyBorder="1"/>
    <x:xf numFmtId="0" fontId="16" fillId="28" borderId="0" xfId="0" applyNumberFormat="1" applyFont="1" applyFill="1" applyBorder="1" applyAlignment="1">
      <x:alignment wrapText="1"/>
    </x:xf>
    <x:xf numFmtId="0" fontId="16" fillId="28" borderId="0" xfId="0" applyNumberFormat="1" applyFont="1" applyFill="1" applyBorder="1" applyAlignment="1">
      <x:alignment horizontal="center" wrapText="1"/>
    </x:xf>
    <x:xf numFmtId="0" fontId="16" fillId="28" borderId="0" xfId="0" applyNumberFormat="1" applyFont="1" applyFill="1" applyBorder="1" applyAlignment="1">
      <x:alignment horizontal="center" vertical="center" wrapText="1"/>
    </x:xf>
    <x:xf numFmtId="0" fontId="0" fillId="28" borderId="3" xfId="0" applyNumberFormat="1" applyFont="1" applyFill="1" applyBorder="1"/>
    <x:xf numFmtId="0" fontId="16" fillId="28" borderId="3" xfId="0" applyNumberFormat="1" applyFont="1" applyFill="1" applyBorder="1"/>
    <x:xf numFmtId="0" fontId="16" fillId="28" borderId="3" xfId="0" applyNumberFormat="1" applyFont="1" applyFill="1" applyBorder="1" applyAlignment="1">
      <x:alignment wrapText="1"/>
    </x:xf>
    <x:xf numFmtId="0" fontId="16" fillId="28" borderId="3" xfId="0" applyNumberFormat="1" applyFont="1" applyFill="1" applyBorder="1" applyAlignment="1">
      <x:alignment horizontal="center" wrapText="1"/>
    </x:xf>
    <x:xf numFmtId="0" fontId="16" fillId="28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9" borderId="3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0" fillId="30" borderId="3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horizontal="left" vertical="center" wrapText="1"/>
    </x:xf>
    <x:xf numFmtId="0" fontId="17" fillId="24" borderId="0" xfId="0" applyNumberFormat="1" applyFont="1" applyFill="1" applyBorder="1" applyAlignment="1">
      <x:alignment horizontal="left" vertical="center" wrapText="1"/>
    </x:xf>
    <x:xf numFmtId="0" fontId="17" fillId="24" borderId="0" xfId="0" applyNumberFormat="1" applyFont="1" applyFill="1" applyBorder="1" applyAlignment="1">
      <x:alignment horizontal="center" vertical="center" wrapText="1"/>
    </x:xf>
    <x:xf numFmtId="0" fontId="1" fillId="24" borderId="3" xfId="0" applyNumberFormat="1" applyFont="1" applyFill="1" applyBorder="1" applyAlignment="1">
      <x:alignment horizontal="left" vertical="center" wrapText="1"/>
    </x:xf>
    <x:xf numFmtId="0" fontId="17" fillId="24" borderId="3" xfId="0" applyNumberFormat="1" applyFont="1" applyFill="1" applyBorder="1" applyAlignment="1">
      <x:alignment horizontal="left" vertical="center" wrapText="1"/>
    </x:xf>
    <x:xf numFmtId="0" fontId="17" fillId="24" borderId="3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left" vertical="center" wrapText="1"/>
    </x:xf>
    <x:xf numFmtId="0" fontId="18" fillId="26" borderId="0" xfId="0" applyNumberFormat="1" applyFont="1" applyFill="1" applyBorder="1" applyAlignment="1">
      <x:alignment horizontal="left" vertical="center" wrapText="1"/>
    </x:xf>
    <x:xf numFmtId="0" fontId="3" fillId="26" borderId="3" xfId="0" applyNumberFormat="1" applyFont="1" applyFill="1" applyBorder="1" applyAlignment="1">
      <x:alignment horizontal="left" vertical="center" wrapText="1"/>
    </x:xf>
    <x:xf numFmtId="0" fontId="18" fillId="26" borderId="3" xfId="0" applyNumberFormat="1" applyFont="1" applyFill="1" applyBorder="1" applyAlignment="1">
      <x:alignment horizontal="left" vertical="center" wrapText="1"/>
    </x:xf>
    <x:xf numFmtId="0" fontId="3" fillId="31" borderId="0" xfId="0" applyNumberFormat="1" applyFont="1" applyFill="1" applyBorder="1" applyAlignment="1">
      <x:alignment horizontal="left" vertical="center" wrapText="1"/>
    </x:xf>
    <x:xf numFmtId="0" fontId="18" fillId="31" borderId="0" xfId="0" applyNumberFormat="1" applyFont="1" applyFill="1" applyBorder="1" applyAlignment="1">
      <x:alignment horizontal="left" vertical="center" wrapText="1"/>
    </x:xf>
    <x:xf numFmtId="0" fontId="3" fillId="31" borderId="3" xfId="0" applyNumberFormat="1" applyFont="1" applyFill="1" applyBorder="1" applyAlignment="1">
      <x:alignment horizontal="left" vertical="center" wrapText="1"/>
    </x:xf>
    <x:xf numFmtId="0" fontId="18" fillId="31" borderId="3" xfId="0" applyNumberFormat="1" applyFont="1" applyFill="1" applyBorder="1" applyAlignment="1">
      <x:alignment horizontal="left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25" borderId="0" xfId="0" applyNumberFormat="1" applyFont="1" applyFill="1" applyBorder="1" applyAlignment="1">
      <x:alignment vertical="center" wrapText="1"/>
    </x:xf>
    <x:xf numFmtId="0" fontId="19" fillId="25" borderId="0" xfId="0" applyNumberFormat="1" applyFont="1" applyFill="1" applyBorder="1" applyAlignment="1">
      <x:alignment vertical="center" wrapText="1"/>
    </x:xf>
    <x:xf numFmtId="0" fontId="19" fillId="25" borderId="0" xfId="0" applyNumberFormat="1" applyFont="1" applyFill="1" applyBorder="1" applyAlignment="1">
      <x:alignment horizontal="left" vertical="center" wrapText="1"/>
    </x:xf>
    <x:xf numFmtId="0" fontId="4" fillId="25" borderId="3" xfId="0" applyNumberFormat="1" applyFont="1" applyFill="1" applyBorder="1" applyAlignment="1">
      <x:alignment vertical="center" wrapText="1"/>
    </x:xf>
    <x:xf numFmtId="0" fontId="19" fillId="25" borderId="3" xfId="0" applyNumberFormat="1" applyFont="1" applyFill="1" applyBorder="1" applyAlignment="1">
      <x:alignment vertical="center" wrapText="1"/>
    </x:xf>
    <x:xf numFmtId="0" fontId="19" fillId="25" borderId="3" xfId="0" applyNumberFormat="1" applyFont="1" applyFill="1" applyBorder="1" applyAlignment="1">
      <x:alignment horizontal="left" vertical="center" wrapText="1"/>
    </x:xf>
    <x:xf numFmtId="0" fontId="3" fillId="32" borderId="0" xfId="0" applyNumberFormat="1" applyFont="1" applyFill="1" applyBorder="1" applyAlignment="1">
      <x:alignment horizontal="left" vertical="center" wrapText="1"/>
    </x:xf>
    <x:xf numFmtId="0" fontId="18" fillId="32" borderId="0" xfId="0" applyNumberFormat="1" applyFont="1" applyFill="1" applyBorder="1" applyAlignment="1">
      <x:alignment horizontal="left" vertical="center" wrapText="1"/>
    </x:xf>
    <x:xf numFmtId="0" fontId="3" fillId="32" borderId="3" xfId="0" applyNumberFormat="1" applyFont="1" applyFill="1" applyBorder="1" applyAlignment="1">
      <x:alignment horizontal="left" vertical="center" wrapText="1"/>
    </x:xf>
    <x:xf numFmtId="0" fontId="18" fillId="32" borderId="3" xfId="0" applyNumberFormat="1" applyFont="1" applyFill="1" applyBorder="1" applyAlignment="1">
      <x:alignment horizontal="left" vertical="center" wrapText="1"/>
    </x:xf>
    <x:xf numFmtId="0" fontId="3" fillId="33" borderId="0" xfId="0" applyNumberFormat="1" applyFont="1" applyFill="1" applyBorder="1" applyAlignment="1">
      <x:alignment horizontal="left" vertical="center" wrapText="1"/>
    </x:xf>
    <x:xf numFmtId="0" fontId="18" fillId="33" borderId="0" xfId="0" applyNumberFormat="1" applyFont="1" applyFill="1" applyBorder="1" applyAlignment="1">
      <x:alignment horizontal="left" vertical="center" wrapText="1"/>
    </x:xf>
    <x:xf numFmtId="0" fontId="3" fillId="33" borderId="3" xfId="0" applyNumberFormat="1" applyFont="1" applyFill="1" applyBorder="1" applyAlignment="1">
      <x:alignment horizontal="left" vertical="center" wrapText="1"/>
    </x:xf>
    <x:xf numFmtId="0" fontId="18" fillId="33" borderId="3" xfId="0" applyNumberFormat="1" applyFont="1" applyFill="1" applyBorder="1" applyAlignment="1">
      <x:alignment horizontal="left" vertical="center" wrapText="1"/>
    </x:xf>
    <x:xf numFmtId="0" fontId="20" fillId="3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horizontal="left" vertical="center" wrapText="1"/>
    </x:xf>
    <x:xf numFmtId="0" fontId="20" fillId="3" borderId="3" xfId="0" applyNumberFormat="1" applyFont="1" applyFill="1" applyBorder="1" applyAlignment="1">
      <x:alignment horizontal="center" vertical="center" wrapText="1"/>
    </x:xf>
    <x:xf numFmtId="0" fontId="21" fillId="0" borderId="3" xfId="0" applyNumberFormat="1" applyFont="1" applyFill="1" applyBorder="1" applyAlignment="1">
      <x:alignment horizontal="center" vertical="center" wrapText="1"/>
    </x:xf>
    <x:xf numFmtId="0" fontId="21" fillId="0" borderId="3" xfId="0" applyNumberFormat="1" applyFont="1" applyFill="1" applyBorder="1" applyAlignment="1">
      <x:alignment horizontal="left" vertical="center" wrapText="1"/>
    </x:xf>
    <x:xf numFmtId="0" fontId="20" fillId="10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center" wrapText="1"/>
    </x:xf>
    <x:xf numFmtId="0" fontId="22" fillId="26" borderId="0" xfId="0" applyNumberFormat="1" applyFont="1" applyFill="1" applyBorder="1" applyAlignment="1">
      <x:alignment horizontal="left" vertical="center" wrapText="1"/>
    </x:xf>
    <x:xf numFmtId="0" fontId="20" fillId="10" borderId="3" xfId="0" applyNumberFormat="1" applyFont="1" applyFill="1" applyBorder="1" applyAlignment="1">
      <x:alignment horizontal="center" vertical="center" wrapText="1"/>
    </x:xf>
    <x:xf numFmtId="0" fontId="21" fillId="0" borderId="3" xfId="0" applyNumberFormat="1" applyFont="1" applyFill="1" applyBorder="1" applyAlignment="1">
      <x:alignment vertical="center" wrapText="1"/>
    </x:xf>
    <x:xf numFmtId="0" fontId="22" fillId="26" borderId="3" xfId="0" applyNumberFormat="1" applyFont="1" applyFill="1" applyBorder="1" applyAlignment="1">
      <x:alignment horizontal="left" vertical="center" wrapText="1"/>
    </x:xf>
    <x:xf numFmtId="0" fontId="4" fillId="34" borderId="0" xfId="0" applyNumberFormat="1" applyFont="1" applyFill="1" applyBorder="1" applyAlignment="1">
      <x:alignment vertical="center" wrapText="1"/>
    </x:xf>
    <x:xf numFmtId="0" fontId="21" fillId="34" borderId="0" xfId="0" applyNumberFormat="1" applyFont="1" applyFill="1" applyBorder="1" applyAlignment="1">
      <x:alignment vertical="center" wrapText="1"/>
    </x:xf>
    <x:xf numFmtId="0" fontId="4" fillId="34" borderId="3" xfId="0" applyNumberFormat="1" applyFont="1" applyFill="1" applyBorder="1" applyAlignment="1">
      <x:alignment vertical="center" wrapText="1"/>
    </x:xf>
    <x:xf numFmtId="0" fontId="21" fillId="34" borderId="3" xfId="0" applyNumberFormat="1" applyFont="1" applyFill="1" applyBorder="1" applyAlignment="1">
      <x:alignment vertical="center" wrapText="1"/>
    </x:xf>
    <x:xf numFmtId="0" fontId="20" fillId="35" borderId="0" xfId="0" applyNumberFormat="1" applyFont="1" applyFill="1" applyBorder="1" applyAlignment="1">
      <x:alignment horizontal="center" vertical="center" wrapText="1"/>
    </x:xf>
    <x:xf numFmtId="0" fontId="20" fillId="35" borderId="3" xfId="0" applyNumberFormat="1" applyFont="1" applyFill="1" applyBorder="1" applyAlignment="1">
      <x:alignment horizontal="center" vertical="center" wrapText="1"/>
    </x:xf>
    <x:xf numFmtId="0" fontId="21" fillId="36" borderId="0" xfId="0" applyNumberFormat="1" applyFont="1" applyFill="1" applyBorder="1" applyAlignment="1">
      <x:alignment horizontal="center" vertical="center" wrapText="1"/>
    </x:xf>
    <x:xf numFmtId="0" fontId="21" fillId="36" borderId="0" xfId="0" applyNumberFormat="1" applyFont="1" applyFill="1" applyBorder="1" applyAlignment="1">
      <x:alignment horizontal="left" vertical="center" wrapText="1"/>
    </x:xf>
    <x:xf numFmtId="0" fontId="21" fillId="36" borderId="3" xfId="0" applyNumberFormat="1" applyFont="1" applyFill="1" applyBorder="1" applyAlignment="1">
      <x:alignment horizontal="center" vertical="center" wrapText="1"/>
    </x:xf>
    <x:xf numFmtId="0" fontId="21" fillId="36" borderId="3" xfId="0" applyNumberFormat="1" applyFont="1" applyFill="1" applyBorder="1" applyAlignment="1">
      <x:alignment horizontal="left" vertical="center" wrapText="1"/>
    </x:xf>
    <x:xf numFmtId="0" fontId="20" fillId="37" borderId="0" xfId="0" applyNumberFormat="1" applyFont="1" applyFill="1" applyBorder="1" applyAlignment="1">
      <x:alignment horizontal="center" vertical="center" wrapText="1"/>
    </x:xf>
    <x:xf numFmtId="0" fontId="20" fillId="37" borderId="3" xfId="0" applyNumberFormat="1" applyFont="1" applyFill="1" applyBorder="1" applyAlignment="1">
      <x:alignment horizontal="center" vertical="center" wrapText="1"/>
    </x:xf>
    <x:xf numFmtId="0" fontId="23" fillId="24" borderId="0" xfId="0" applyNumberFormat="1" applyFont="1" applyFill="1" applyBorder="1"/>
    <x:xf numFmtId="0" fontId="23" fillId="24" borderId="0" xfId="0" applyNumberFormat="1" applyFont="1" applyFill="1" applyBorder="1" applyAlignment="1">
      <x:alignment wrapText="1"/>
    </x:xf>
    <x:xf numFmtId="0" fontId="23" fillId="24" borderId="0" xfId="0" applyNumberFormat="1" applyFont="1" applyFill="1" applyBorder="1" applyAlignment="1">
      <x:alignment horizontal="center" wrapText="1"/>
    </x:xf>
    <x:xf numFmtId="0" fontId="23" fillId="24" borderId="0" xfId="0" applyNumberFormat="1" applyFont="1" applyFill="1" applyBorder="1" applyAlignment="1">
      <x:alignment horizontal="center" vertical="center" wrapText="1"/>
    </x:xf>
    <x:xf numFmtId="0" fontId="23" fillId="24" borderId="3" xfId="0" applyNumberFormat="1" applyFont="1" applyFill="1" applyBorder="1"/>
    <x:xf numFmtId="0" fontId="23" fillId="24" borderId="3" xfId="0" applyNumberFormat="1" applyFont="1" applyFill="1" applyBorder="1" applyAlignment="1">
      <x:alignment wrapText="1"/>
    </x:xf>
    <x:xf numFmtId="0" fontId="23" fillId="24" borderId="3" xfId="0" applyNumberFormat="1" applyFont="1" applyFill="1" applyBorder="1" applyAlignment="1">
      <x:alignment horizontal="center" wrapText="1"/>
    </x:xf>
    <x:xf numFmtId="0" fontId="23" fillId="24" borderId="3" xfId="0" applyNumberFormat="1" applyFont="1" applyFill="1" applyBorder="1" applyAlignment="1">
      <x:alignment horizontal="center" vertical="center" wrapText="1"/>
    </x:xf>
    <x:xf numFmtId="0" fontId="4" fillId="25" borderId="0" xfId="0" applyNumberFormat="1" applyFont="1" applyFill="1" applyBorder="1" applyAlignment="1">
      <x:alignment vertical="center"/>
    </x:xf>
    <x:xf numFmtId="0" fontId="19" fillId="25" borderId="0" xfId="0" applyNumberFormat="1" applyFont="1" applyFill="1" applyBorder="1" applyAlignment="1">
      <x:alignment vertical="center"/>
    </x:xf>
    <x:xf numFmtId="0" fontId="4" fillId="25" borderId="3" xfId="0" applyNumberFormat="1" applyFont="1" applyFill="1" applyBorder="1" applyAlignment="1">
      <x:alignment vertical="center"/>
    </x:xf>
    <x:xf numFmtId="0" fontId="19" fillId="25" borderId="3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4" fillId="35" borderId="0" xfId="0" applyNumberFormat="1" applyFont="1" applyFill="1" applyBorder="1"/>
    <x:xf numFmtId="0" fontId="24" fillId="35" borderId="0" xfId="0" applyNumberFormat="1" applyFont="1" applyFill="1" applyBorder="1" applyAlignment="1">
      <x:alignment horizontal="center"/>
    </x:xf>
    <x:xf numFmtId="0" fontId="24" fillId="35" borderId="0" xfId="0" applyNumberFormat="1" applyFont="1" applyFill="1" applyBorder="1" applyAlignment="1">
      <x:alignment horizontal="center" vertical="center"/>
    </x:xf>
    <x:xf numFmtId="0" fontId="0" fillId="35" borderId="3" xfId="0" applyNumberFormat="1" applyFont="1" applyFill="1" applyBorder="1"/>
    <x:xf numFmtId="0" fontId="24" fillId="35" borderId="3" xfId="0" applyNumberFormat="1" applyFont="1" applyFill="1" applyBorder="1"/>
    <x:xf numFmtId="0" fontId="24" fillId="35" borderId="3" xfId="0" applyNumberFormat="1" applyFont="1" applyFill="1" applyBorder="1" applyAlignment="1">
      <x:alignment horizontal="center"/>
    </x:xf>
    <x:xf numFmtId="0" fontId="24" fillId="35" borderId="3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center"/>
    </x:xf>
    <x:xf numFmtId="0" fontId="20" fillId="5" borderId="3" xfId="0" applyNumberFormat="1" applyFont="1" applyFill="1" applyBorder="1" applyAlignment="1">
      <x:alignment horizontal="center" vertical="center" wrapText="1"/>
    </x:xf>
    <x:xf numFmtId="0" fontId="21" fillId="0" borderId="3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4" fillId="31" borderId="0" xfId="0" applyNumberFormat="1" applyFont="1" applyFill="1" applyBorder="1" applyAlignment="1">
      <x:alignment vertical="center" wrapText="1"/>
    </x:xf>
    <x:xf numFmtId="0" fontId="14" fillId="31" borderId="0" xfId="0" applyNumberFormat="1" applyFont="1" applyFill="1" applyBorder="1"/>
    <x:xf numFmtId="0" fontId="18" fillId="31" borderId="0" xfId="0" applyNumberFormat="1" applyFont="1" applyFill="1" applyBorder="1" applyAlignment="1">
      <x:alignment vertical="center" wrapText="1"/>
    </x:xf>
    <x:xf numFmtId="0" fontId="14" fillId="31" borderId="0" xfId="0" applyNumberFormat="1" applyFont="1" applyFill="1" applyBorder="1" applyAlignment="1">
      <x:alignment horizontal="left"/>
    </x:xf>
    <x:xf numFmtId="0" fontId="14" fillId="31" borderId="0" xfId="0" applyNumberFormat="1" applyFont="1" applyFill="1" applyBorder="1" applyAlignment="1">
      <x:alignment horizontal="left" vertical="center"/>
    </x:xf>
    <x:xf numFmtId="0" fontId="0" fillId="31" borderId="3" xfId="0" applyNumberFormat="1" applyFont="1" applyFill="1" applyBorder="1"/>
    <x:xf numFmtId="0" fontId="4" fillId="31" borderId="3" xfId="0" applyNumberFormat="1" applyFont="1" applyFill="1" applyBorder="1" applyAlignment="1">
      <x:alignment vertical="center" wrapText="1"/>
    </x:xf>
    <x:xf numFmtId="0" fontId="14" fillId="31" borderId="3" xfId="0" applyNumberFormat="1" applyFont="1" applyFill="1" applyBorder="1"/>
    <x:xf numFmtId="0" fontId="18" fillId="31" borderId="3" xfId="0" applyNumberFormat="1" applyFont="1" applyFill="1" applyBorder="1" applyAlignment="1">
      <x:alignment vertical="center" wrapText="1"/>
    </x:xf>
    <x:xf numFmtId="0" fontId="14" fillId="31" borderId="3" xfId="0" applyNumberFormat="1" applyFont="1" applyFill="1" applyBorder="1" applyAlignment="1">
      <x:alignment horizontal="left"/>
    </x:xf>
    <x:xf numFmtId="0" fontId="14" fillId="31" borderId="3" xfId="0" applyNumberFormat="1" applyFont="1" applyFill="1" applyBorder="1" applyAlignment="1">
      <x:alignment horizontal="left" vertical="center"/>
    </x:xf>
    <x:xf numFmtId="0" fontId="0" fillId="30" borderId="0" xfId="0" applyNumberFormat="1" applyFont="1" applyFill="1" applyBorder="1"/>
    <x:xf numFmtId="0" fontId="25" fillId="30" borderId="0" xfId="0" applyNumberFormat="1" applyFont="1" applyFill="1" applyBorder="1"/>
    <x:xf numFmtId="0" fontId="25" fillId="30" borderId="0" xfId="0" applyNumberFormat="1" applyFont="1" applyFill="1" applyBorder="1" applyAlignment="1">
      <x:alignment horizontal="center"/>
    </x:xf>
    <x:xf numFmtId="0" fontId="25" fillId="30" borderId="0" xfId="0" applyNumberFormat="1" applyFont="1" applyFill="1" applyBorder="1" applyAlignment="1">
      <x:alignment horizontal="center" vertical="center"/>
    </x:xf>
    <x:xf numFmtId="0" fontId="0" fillId="30" borderId="3" xfId="0" applyNumberFormat="1" applyFont="1" applyFill="1" applyBorder="1"/>
    <x:xf numFmtId="0" fontId="25" fillId="30" borderId="3" xfId="0" applyNumberFormat="1" applyFont="1" applyFill="1" applyBorder="1"/>
    <x:xf numFmtId="0" fontId="25" fillId="30" borderId="3" xfId="0" applyNumberFormat="1" applyFont="1" applyFill="1" applyBorder="1" applyAlignment="1">
      <x:alignment horizontal="center"/>
    </x:xf>
    <x:xf numFmtId="0" fontId="25" fillId="30" borderId="3" xfId="0" applyNumberFormat="1" applyFont="1" applyFill="1" applyBorder="1" applyAlignment="1">
      <x:alignment horizontal="center" vertical="center"/>
    </x:xf>
    <x:xf numFmtId="0" fontId="4" fillId="30" borderId="0" xfId="0" applyNumberFormat="1" applyFont="1" applyFill="1" applyBorder="1" applyAlignment="1">
      <x:alignment vertical="center" wrapText="1"/>
    </x:xf>
    <x:xf numFmtId="0" fontId="21" fillId="30" borderId="0" xfId="0" applyNumberFormat="1" applyFont="1" applyFill="1" applyBorder="1" applyAlignment="1">
      <x:alignment vertical="center" wrapText="1"/>
    </x:xf>
    <x:xf numFmtId="0" fontId="26" fillId="30" borderId="0" xfId="0" applyNumberFormat="1" applyFont="1" applyFill="1" applyBorder="1"/>
    <x:xf numFmtId="0" fontId="26" fillId="30" borderId="0" xfId="0" applyNumberFormat="1" applyFont="1" applyFill="1" applyBorder="1" applyAlignment="1">
      <x:alignment wrapText="1"/>
    </x:xf>
    <x:xf numFmtId="0" fontId="26" fillId="30" borderId="0" xfId="0" applyNumberFormat="1" applyFont="1" applyFill="1" applyBorder="1" applyAlignment="1">
      <x:alignment vertical="center" wrapText="1"/>
    </x:xf>
    <x:xf numFmtId="0" fontId="4" fillId="30" borderId="3" xfId="0" applyNumberFormat="1" applyFont="1" applyFill="1" applyBorder="1" applyAlignment="1">
      <x:alignment vertical="center" wrapText="1"/>
    </x:xf>
    <x:xf numFmtId="0" fontId="21" fillId="30" borderId="3" xfId="0" applyNumberFormat="1" applyFont="1" applyFill="1" applyBorder="1" applyAlignment="1">
      <x:alignment vertical="center" wrapText="1"/>
    </x:xf>
    <x:xf numFmtId="0" fontId="26" fillId="30" borderId="3" xfId="0" applyNumberFormat="1" applyFont="1" applyFill="1" applyBorder="1"/>
    <x:xf numFmtId="0" fontId="26" fillId="30" borderId="3" xfId="0" applyNumberFormat="1" applyFont="1" applyFill="1" applyBorder="1" applyAlignment="1">
      <x:alignment wrapText="1"/>
    </x:xf>
    <x:xf numFmtId="0" fontId="26" fillId="30" borderId="3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23">
    <x:dxf>
      <x:font>
        <x:b/>
        <x:color rgb="FF1F2937"/>
      </x:font>
      <x:fill>
        <x:patternFill>
          <x:bgColor rgb="FFFCE7F3"/>
        </x:patternFill>
      </x:fill>
    </x:dxf>
    <x:dxf>
      <x:font>
        <x:b/>
        <x:color rgb="FF1F2937"/>
      </x:font>
      <x:fill>
        <x:patternFill>
          <x:bgColor rgb="FFEDE9FE"/>
        </x:patternFill>
      </x:fill>
    </x:dxf>
    <x:dxf>
      <x:font>
        <x:b/>
        <x:color rgb="FF1F2937"/>
      </x:font>
      <x:fill>
        <x:patternFill>
          <x:bgColor rgb="FFFEE2E2"/>
        </x:patternFill>
      </x:fill>
    </x:dxf>
    <x:dxf>
      <x:font>
        <x:b/>
        <x:color rgb="FF1F2937"/>
      </x:font>
      <x:fill>
        <x:patternFill>
          <x:bgColor rgb="FFFEF3C7"/>
        </x:patternFill>
      </x:fill>
    </x:dxf>
    <x:dxf>
      <x:font>
        <x:b/>
        <x:color rgb="FF1F2937"/>
      </x:font>
      <x:fill>
        <x:patternFill>
          <x:bgColor rgb="FFDCFCE7"/>
        </x:patternFill>
      </x:fill>
    </x:dxf>
    <x:dxf>
      <x:font>
        <x:b/>
        <x:color rgb="FF1F2937"/>
      </x:font>
      <x:fill>
        <x:patternFill>
          <x:bgColor rgb="FFEAF2F8"/>
        </x:patternFill>
      </x:fill>
    </x:dxf>
    <x:dxf>
      <x:font>
        <x:b/>
        <x:color rgb="FF1F2937"/>
      </x:font>
      <x:fill>
        <x:patternFill>
          <x:bgColor rgb="FFD9F0EC"/>
        </x:patternFill>
      </x:fill>
    </x:dxf>
    <x:dxf>
      <x:font>
        <x:color rgb="FF64748B"/>
      </x:font>
      <x:fill>
        <x:patternFill>
          <x:bgColor rgb="FFF1F5F9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color rgb="FF64748B"/>
      </x:font>
      <x:fill>
        <x:patternFill>
          <x:bgColor rgb="FFF1F5F9"/>
        </x:patternFill>
      </x:fill>
    </x:dxf>
    <x:dxf>
      <x:font>
        <x:b/>
        <x:color rgb="FF0F766E"/>
      </x:font>
      <x:fill>
        <x:patternFill>
          <x:bgColor rgb="FFD9F0EC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64748B"/>
      </x:font>
      <x:fill>
        <x:patternFill>
          <x:bgColor rgb="FFF1F5F9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0F766E"/>
      </x:font>
      <x:fill>
        <x:patternFill>
          <x:bgColor rgb="FFD9F0EC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64748B"/>
      </x:font>
      <x:fill>
        <x:patternFill>
          <x:bgColor rgb="FFF1F5F9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0F766E"/>
      </x:font>
      <x:fill>
        <x:patternFill>
          <x:bgColor rgb="FFD9F0EC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b7f3449b44ed2" /><Relationship Type="http://schemas.openxmlformats.org/officeDocument/2006/relationships/theme" Target="/xl/theme/theme1.xml" Id="R2622571f06de41a3" /><Relationship Type="http://schemas.openxmlformats.org/officeDocument/2006/relationships/sharedStrings" Target="/xl/sharedStrings.xml" Id="R269dcc0ddb774c52" /><Relationship Type="http://schemas.openxmlformats.org/officeDocument/2006/relationships/worksheet" Target="/xl/worksheets/sheet1.xml" Id="Refb269d49ec94ff6" /><Relationship Type="http://schemas.openxmlformats.org/officeDocument/2006/relationships/worksheet" Target="/xl/worksheets/sheet2.xml" Id="R11fb041346b24cf3" /><Relationship Type="http://schemas.openxmlformats.org/officeDocument/2006/relationships/worksheet" Target="/xl/worksheets/sheet3.xml" Id="R59f78ad9ee094ce8" /><Relationship Type="http://schemas.openxmlformats.org/officeDocument/2006/relationships/worksheet" Target="/xl/worksheets/sheet4.xml" Id="R140a6c0df1ea4a6c" /><Relationship Type="http://schemas.openxmlformats.org/officeDocument/2006/relationships/worksheet" Target="/xl/worksheets/sheet5.xml" Id="R606d83b156ab42bc" /><Relationship Type="http://schemas.openxmlformats.org/officeDocument/2006/relationships/worksheet" Target="/xl/worksheets/sheet6.xml" Id="Rc23dc13ba0724d06" /><Relationship Type="http://schemas.openxmlformats.org/officeDocument/2006/relationships/worksheet" Target="/xl/worksheets/sheet7.xml" Id="Rd302aecf679845c2" /><Relationship Type="http://schemas.openxmlformats.org/officeDocument/2006/relationships/worksheet" Target="/xl/worksheets/sheet8.xml" Id="Rfb7a05daa4ad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2" max="2" width="38" hidden="0" customWidth="1"/>
    <x:col min="3" max="3" width="55" hidden="0" customWidth="1"/>
    <x:col min="4" max="6" width="12" customWidth="1"/>
    <x:col min="1" max="1" width="25" hidden="0" customWidth="1"/>
  </x:cols>
  <x:sheetData>
    <x:row r="1" ht="30" customHeight="1">
      <x:c r="A1" s="205" t="str">
        <x:v>LocalHub 프로젝트 실습기획서 — 서울·데이터 시각화 대시보드·Netlify Functions 최종안</x:v>
      </x:c>
      <x:c r="B1" s="151"/>
      <x:c r="C1" s="151"/>
      <x:c r="D1" s="38"/>
      <x:c r="E1" s="38"/>
      <x:c r="F1" s="38"/>
    </x:row>
    <x:row r="2" ht="26" customHeight="1">
      <x:c r="A2" s="107" t="str">
        <x:v>기획 → 요구사항 분석 → 아이디어 평가 → MVP → WBS/간트 → 배포 구조까지 한 파일에 정리</x:v>
      </x:c>
      <x:c r="B2" s="166"/>
      <x:c r="C2" s="166"/>
      <x:c r="D2" s="5"/>
      <x:c r="E2" s="5"/>
      <x:c r="F2" s="5"/>
    </x:row>
    <x:row r="3" ht="33.95000076293945" customHeight="1">
      <x:c r="B3" s="1"/>
      <x:c r="C3" s="6"/>
      <x:c r="D3" s="5"/>
      <x:c r="E3" s="5"/>
      <x:c r="F3" s="5"/>
    </x:row>
    <x:row r="4" ht="36" customHeight="1">
      <x:c r="A4" s="217" t="str">
        <x:v>실습 소재</x:v>
      </x:c>
      <x:c r="B4" s="178" t="str">
        <x:v>공공데이터 기반 지역 정보 공유 커뮤니티 'LocalHub' 개발 의뢰 문서(RFP)</x:v>
      </x:c>
      <x:c r="C4" s="185"/>
      <x:c r="D4" s="5"/>
      <x:c r="E4" s="5"/>
      <x:c r="F4" s="5"/>
    </x:row>
    <x:row r="5" ht="36" customHeight="1">
      <x:c r="A5" s="217" t="str">
        <x:v>기준 문서</x:v>
      </x:c>
      <x:c r="B5" s="178" t="str">
        <x:v>02_3일차_팀프로젝트_개발 의뢰서_비전공.pdf</x:v>
      </x:c>
      <x:c r="C5" s="185"/>
      <x:c r="D5" s="5"/>
      <x:c r="E5" s="5"/>
      <x:c r="F5" s="5"/>
    </x:row>
    <x:row r="6" ht="36" customHeight="1">
      <x:c r="A6" s="217" t="str">
        <x:v>작성 기준일</x:v>
      </x:c>
      <x:c r="B6" s="178" t="str">
        <x:v>2026-07-14</x:v>
      </x:c>
      <x:c r="C6" s="185"/>
      <x:c r="D6" s="5"/>
      <x:c r="E6" s="5"/>
      <x:c r="F6" s="5"/>
    </x:row>
    <x:row r="7" ht="36" customHeight="1">
      <x:c r="A7" s="217" t="str">
        <x:v>납기</x:v>
      </x:c>
      <x:c r="B7" s="178" t="str">
        <x:v>2026-07-16(목) 15:00</x:v>
      </x:c>
      <x:c r="C7" s="185"/>
      <x:c r="D7" s="5"/>
      <x:c r="E7" s="5"/>
      <x:c r="F7" s="5"/>
    </x:row>
    <x:row r="8" ht="36" customHeight="1">
      <x:c r="A8" s="217" t="str">
        <x:v>개발 환경</x:v>
      </x:c>
      <x:c r="B8" s="178" t="str">
        <x:v>Vue.js 3 + Vite SPA / localStorage / Netlify Functions / OpenAI API / Netlify</x:v>
      </x:c>
      <x:c r="C8" s="185"/>
      <x:c r="D8" s="5"/>
      <x:c r="E8" s="5"/>
      <x:c r="F8" s="5"/>
    </x:row>
    <x:row r="9" ht="36" customHeight="1">
      <x:c r="A9" s="217" t="str">
        <x:v>허용 AI 도구</x:v>
      </x:c>
      <x:c r="B9" s="178" t="str">
        <x:v>VSCode Copilot + OpenAI API만 허용</x:v>
      </x:c>
      <x:c r="C9" s="185"/>
      <x:c r="D9" s="5"/>
      <x:c r="E9" s="5"/>
      <x:c r="F9" s="5"/>
    </x:row>
    <x:row r="10" ht="36" customHeight="1">
      <x:c r="A10" s="217" t="str">
        <x:v>선정 권역</x:v>
      </x:c>
      <x:c r="B10" s="178" t="str">
        <x:v>서울</x:v>
      </x:c>
      <x:c r="C10" s="185"/>
      <x:c r="D10" s="5"/>
      <x:c r="E10" s="5"/>
      <x:c r="F10" s="5"/>
    </x:row>
    <x:row r="11" ht="36" customHeight="1">
      <x:c r="A11" s="217" t="str">
        <x:v>선정 선택기능</x:v>
      </x:c>
      <x:c r="B11" s="178" t="str">
        <x:v>1순위: 데이터 시각화 대시보드 / 예비: 커뮤니티 게시판 추가기능, 축제 캘린더</x:v>
      </x:c>
      <x:c r="C11" s="185"/>
      <x:c r="D11" s="5"/>
      <x:c r="E11" s="5"/>
      <x:c r="F11" s="5"/>
    </x:row>
    <x:row r="12">
      <x:c r="B12" s="5"/>
      <x:c r="C12" s="5"/>
      <x:c r="D12" s="5"/>
      <x:c r="E12" s="5"/>
      <x:c r="F12" s="5"/>
    </x:row>
    <x:row r="13" ht="24" customHeight="1">
      <x:c r="A13" s="116" t="str">
        <x:v>시트 구성 및 확인 순서</x:v>
      </x:c>
      <x:c r="B13" s="156"/>
      <x:c r="C13" s="156"/>
      <x:c r="D13" s="39"/>
      <x:c r="E13" s="39"/>
      <x:c r="F13" s="39"/>
    </x:row>
    <x:row r="14" ht="34" customHeight="1">
      <x:c r="A14" s="135" t="str">
        <x:v>1_프롬프트가이드(참고)</x:v>
      </x:c>
      <x:c r="B14" s="222" t="str">
        <x:v>실습 단계별 ChatGPT 입력 예시 및 검토 포인트</x:v>
      </x:c>
      <x:c r="C14" s="185"/>
      <x:c r="D14" s="5"/>
      <x:c r="E14" s="5"/>
      <x:c r="F14" s="5"/>
    </x:row>
    <x:row r="15" ht="34" customHeight="1">
      <x:c r="A15" s="135" t="str">
        <x:v>2_요구사항분석(실습)</x:v>
      </x:c>
      <x:c r="B15" s="222" t="str">
        <x:v>RFP를 Must/Should/Could/Won't/제약으로 분해한 완료본</x:v>
      </x:c>
      <x:c r="C15" s="185"/>
      <x:c r="D15" s="5"/>
      <x:c r="E15" s="5"/>
      <x:c r="F15" s="5"/>
    </x:row>
    <x:row r="16" ht="34" customHeight="1">
      <x:c r="A16" s="135" t="str">
        <x:v>3_아이디어도출(실습)</x:v>
      </x:c>
      <x:c r="B16" s="222" t="str">
        <x:v>선택기능 후보를 난이도·실현가능성·임팩트로 평가</x:v>
      </x:c>
      <x:c r="C16" s="185"/>
      <x:c r="D16" s="5"/>
      <x:c r="E16" s="5"/>
      <x:c r="F16" s="5"/>
    </x:row>
    <x:row r="17" ht="34" customHeight="1">
      <x:c r="A17" s="135" t="str">
        <x:v>4_MVP정의(실습)</x:v>
      </x:c>
      <x:c r="B17" s="222" t="str">
        <x:v>서울 권역, 필수기능, Netlify Functions 챗봇, 선택·제외 범위 확정</x:v>
      </x:c>
      <x:c r="C17" s="185"/>
      <x:c r="D17" s="5"/>
      <x:c r="E17" s="5"/>
      <x:c r="F17" s="5"/>
    </x:row>
    <x:row r="18" ht="34" customHeight="1">
      <x:c r="A18" s="135" t="str">
        <x:v>5_WBS_간트차트(실습)</x:v>
      </x:c>
      <x:c r="B18" s="222" t="str">
        <x:v>2026-07-14~07-16의 3일 작업계획과 3인 역할 분담</x:v>
      </x:c>
      <x:c r="C18" s="185"/>
      <x:c r="D18" s="5"/>
      <x:c r="E18" s="5"/>
      <x:c r="F18" s="5"/>
    </x:row>
    <x:row r="19" ht="34" customHeight="1">
      <x:c r="A19" s="135" t="str">
        <x:v>6_용어설명(참고)</x:v>
      </x:c>
      <x:c r="B19" s="222" t="str">
        <x:v>비전공자용 핵심 용어 설명</x:v>
      </x:c>
      <x:c r="C19" s="185"/>
      <x:c r="D19" s="5"/>
      <x:c r="E19" s="5"/>
      <x:c r="F19" s="5"/>
    </x:row>
    <x:row r="20" ht="34" customHeight="1">
      <x:c r="A20" s="135" t="str">
        <x:v>7_기술구성_배포(최종)</x:v>
      </x:c>
      <x:c r="B20" s="185" t="str">
        <x:v>OpenAI 키 비노출 아키텍처, Netlify 설정, QA 체크리스트</x:v>
      </x:c>
      <x:c r="C20" s="185"/>
      <x:c r="D20" s="5"/>
      <x:c r="E20" s="5"/>
      <x:c r="F20" s="5"/>
    </x:row>
    <x:row r="21" ht="24" customHeight="1">
      <x:c r="B21" s="160"/>
      <x:c r="C21" s="160"/>
      <x:c r="D21" s="40"/>
      <x:c r="E21" s="40"/>
      <x:c r="F21" s="40"/>
    </x:row>
    <x:row r="22" ht="24" customHeight="1">
      <x:c r="A22" s="231" t="str">
        <x:v>주의사항</x:v>
      </x:c>
      <x:c r="B22" s="160"/>
      <x:c r="C22" s="160"/>
      <x:c r="D22" s="5"/>
      <x:c r="E22" s="5"/>
      <x:c r="F22" s="5"/>
    </x:row>
    <x:row r="23" ht="42" customHeight="1">
      <x:c r="A23" s="241" t="str">
        <x:v>•</x:v>
      </x:c>
      <x:c r="B23" s="247" t="str">
        <x:v>OpenAI API 키는 프론트엔드 VITE_ 환경변수로 전달하지 않습니다. Netlify Functions에서만 OPENAI_API_KEY를 읽습니다.</x:v>
      </x:c>
      <x:c r="C23" s="247"/>
      <x:c r="D23" s="5"/>
      <x:c r="E23" s="5"/>
      <x:c r="F23" s="5"/>
    </x:row>
    <x:row r="24" ht="42" customHeight="1">
      <x:c r="A24" s="241" t="str">
        <x:v>•</x:v>
      </x:c>
      <x:c r="B24" s="247" t="str">
        <x:v>Vue 챗봇은 '/.netlify/functions/chat'만 호출하며 브라우저 코드·빌드 산출물·Network 응답에 API 키가 포함되면 안 됩니다.</x:v>
      </x:c>
      <x:c r="C24" s="247"/>
      <x:c r="D24" s="5"/>
      <x:c r="E24" s="5"/>
      <x:c r="F24" s="5"/>
    </x:row>
    <x:row r="25" ht="42" customHeight="1">
      <x:c r="A25" s="241" t="str">
        <x:v>•</x:v>
      </x:c>
      <x:c r="B25" s="247" t="str">
        <x:v>.env는 Git에 포함하지 않고 운영 키는 Netlify Site configuration의 Environment variables에 등록합니다.</x:v>
      </x:c>
      <x:c r="C25" s="247"/>
      <x:c r="D25" s="5"/>
      <x:c r="E25" s="5"/>
      <x:c r="F25" s="5"/>
    </x:row>
    <x:row r="26" ht="42" customHeight="1">
      <x:c r="A26" s="241" t="str">
        <x:v>•</x:v>
      </x:c>
      <x:c r="B26" s="250" t="str">
        <x:v>localStorage 게시글은 같은 브라우저·기기에만 보입니다. 기능 동결 후 CRUD·대시보드·Functions 챗봇·모바일·배포를 함께 점검합니다.</x:v>
      </x:c>
      <x:c r="C26" s="250"/>
    </x:row>
  </x:sheetData>
  <x:mergeCells>
    <x:mergeCell ref="A1:C1"/>
    <x:mergeCell ref="A2:C2"/>
    <x:mergeCell ref="B4:C4"/>
    <x:mergeCell ref="B5:C5"/>
    <x:mergeCell ref="B6:C6"/>
    <x:mergeCell ref="B7:C7"/>
    <x:mergeCell ref="B8:C8"/>
    <x:mergeCell ref="B9:C9"/>
    <x:mergeCell ref="B10:C10"/>
    <x:mergeCell ref="B11:C11"/>
    <x:mergeCell ref="A13:C13"/>
    <x:mergeCell ref="B14:C14"/>
    <x:mergeCell ref="B15:C15"/>
    <x:mergeCell ref="B16:C16"/>
    <x:mergeCell ref="B17:C17"/>
    <x:mergeCell ref="B18:C18"/>
    <x:mergeCell ref="B19:C19"/>
    <x:mergeCell ref="B20:C20"/>
    <x:mergeCell ref="A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2" max="2" width="19" customWidth="1"/>
    <x:col min="3" max="3" width="24" customWidth="1"/>
    <x:col min="4" max="4" width="68" customWidth="1"/>
    <x:col min="5" max="5" width="22" customWidth="1"/>
    <x:col min="6" max="6" width="35" customWidth="1"/>
  </x:cols>
  <x:sheetData>
    <x:row r="1" ht="30" customHeight="1">
      <x:c r="B1" s="38" t="s">
        <x:v>0</x:v>
      </x:c>
      <x:c r="C1" s="38"/>
      <x:c r="D1" s="38"/>
      <x:c r="E1" s="38"/>
      <x:c r="F1" s="38"/>
    </x:row>
    <x:row r="2">
      <x:c r="B2" s="5"/>
      <x:c r="C2" s="5"/>
      <x:c r="D2" s="5"/>
      <x:c r="E2" s="5"/>
      <x:c r="F2" s="5"/>
    </x:row>
    <x:row r="3" ht="33.95000076293945" customHeight="1">
      <x:c r="B3" s="7" t="s">
        <x:v>1</x:v>
      </x:c>
      <x:c r="C3" s="7" t="s">
        <x:v>2</x:v>
      </x:c>
      <x:c r="D3" s="7" t="s">
        <x:v>3</x:v>
      </x:c>
      <x:c r="E3" s="7" t="s">
        <x:v>4</x:v>
      </x:c>
      <x:c r="F3" s="7" t="s">
        <x:v>5</x:v>
      </x:c>
    </x:row>
    <x:row r="4" ht="81.94999694824219" customHeight="1">
      <x:c r="B4" s="9" t="s">
        <x:v>6</x:v>
      </x:c>
      <x:c r="C4" s="6" t="s">
        <x:v>7</x:v>
      </x:c>
      <x:c r="D4" s="6" t="s">
        <x:v>8</x:v>
      </x:c>
      <x:c r="E4" s="6" t="s">
        <x:v>9</x:v>
      </x:c>
      <x:c r="F4" s="6" t="s">
        <x:v>10</x:v>
      </x:c>
    </x:row>
    <x:row r="5" ht="81.94999694824219" customHeight="1">
      <x:c r="B5" s="9" t="s">
        <x:v>11</x:v>
      </x:c>
      <x:c r="C5" s="6" t="s">
        <x:v>12</x:v>
      </x:c>
      <x:c r="D5" s="6" t="s">
        <x:v>13</x:v>
      </x:c>
      <x:c r="E5" s="6" t="s">
        <x:v>14</x:v>
      </x:c>
      <x:c r="F5" s="6" t="s">
        <x:v>15</x:v>
      </x:c>
    </x:row>
    <x:row r="6" ht="81.94999694824219" customHeight="1">
      <x:c r="B6" s="9" t="s">
        <x:v>16</x:v>
      </x:c>
      <x:c r="C6" s="6" t="s">
        <x:v>17</x:v>
      </x:c>
      <x:c r="D6" s="6" t="s">
        <x:v>18</x:v>
      </x:c>
      <x:c r="E6" s="6" t="s">
        <x:v>19</x:v>
      </x:c>
      <x:c r="F6" s="6" t="s">
        <x:v>20</x:v>
      </x:c>
    </x:row>
    <x:row r="7" ht="81.94999694824219" customHeight="1">
      <x:c r="B7" s="9" t="s">
        <x:v>21</x:v>
      </x:c>
      <x:c r="C7" s="6" t="s">
        <x:v>22</x:v>
      </x:c>
      <x:c r="D7" s="6" t="str">
        <x:v>2026-07-14 시작, 2026-07-16 15시 납기 기준으로 [기획, 설계, 서울 JSON 연동, CRUD, Netlify Functions 기반 챗봇, Chart.js 대시보드, 배포, 테스트, 문서화, 발표준비] 작업을 세분화한다.</x:v>
      </x:c>
      <x:c r="E7" s="6" t="s">
        <x:v>23</x:v>
      </x:c>
      <x:c r="F7" s="6" t="s">
        <x:v>24</x:v>
      </x:c>
    </x:row>
    <x:row r="8">
      <x:c r="B8" s="5"/>
      <x:c r="C8" s="5"/>
      <x:c r="D8" s="5"/>
      <x:c r="E8" s="5"/>
      <x:c r="F8" s="5"/>
    </x:row>
    <x:row r="9" ht="24" customHeight="1">
      <x:c r="B9" s="39" t="s">
        <x:v>25</x:v>
      </x:c>
      <x:c r="C9" s="39"/>
      <x:c r="D9" s="39"/>
      <x:c r="E9" s="39"/>
      <x:c r="F9" s="39"/>
    </x:row>
    <x:row r="10">
      <x:c r="B10" s="8" t="s">
        <x:v>26</x:v>
      </x:c>
      <x:c r="C10" s="41" t="s">
        <x:v>27</x:v>
      </x:c>
      <x:c r="D10" s="41"/>
      <x:c r="E10" s="41"/>
      <x:c r="F10" s="41"/>
    </x:row>
    <x:row r="11">
      <x:c r="B11" s="8" t="s">
        <x:v>26</x:v>
      </x:c>
      <x:c r="C11" s="41" t="str">
        <x:v>AI 결과는 초안입니다. 날짜, 기술스택, 배포 방식, 금지 도구를 RFP 원문과 대조하고, 챗봇은 Netlify Functions 경유 구조로 고정합니다.</x:v>
      </x:c>
      <x:c r="D11" s="41"/>
      <x:c r="E11" s="41"/>
      <x:c r="F11" s="41"/>
    </x:row>
    <x:row r="12">
      <x:c r="B12" s="8" t="s">
        <x:v>26</x:v>
      </x:c>
      <x:c r="C12" s="41" t="str">
        <x:v>OPENAI_API_KEY는 Netlify 서버 환경변수에만 저장합니다. VITE_ 접두사로 키를 노출하지 않고, 요청 길이·응답 오류·호출 횟수 제한을 검토합니다.</x:v>
      </x:c>
      <x:c r="D12" s="41"/>
      <x:c r="E12" s="41"/>
      <x:c r="F12" s="41"/>
    </x:row>
  </x:sheetData>
  <x:mergeCells>
    <x:mergeCell ref="B1:F1"/>
    <x:mergeCell ref="B9:F9"/>
    <x:mergeCell ref="C10:F10"/>
    <x:mergeCell ref="C11:F11"/>
    <x:mergeCell ref="C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2" max="2" width="13" customWidth="1"/>
    <x:col min="3" max="3" width="28" customWidth="1"/>
    <x:col min="4" max="4" width="65" customWidth="1"/>
    <x:col min="5" max="5" width="22" customWidth="1"/>
    <x:col min="6" max="6" width="52" customWidth="1"/>
  </x:cols>
  <x:sheetData>
    <x:row r="1" ht="30" customHeight="1">
      <x:c r="B1" s="38" t="s">
        <x:v>28</x:v>
      </x:c>
      <x:c r="C1" s="38"/>
      <x:c r="D1" s="38"/>
      <x:c r="E1" s="38"/>
      <x:c r="F1" s="38"/>
    </x:row>
    <x:row r="2">
      <x:c r="B2" s="41" t="s">
        <x:v>29</x:v>
      </x:c>
      <x:c r="C2" s="41"/>
      <x:c r="D2" s="41"/>
      <x:c r="E2" s="41"/>
      <x:c r="F2" s="41"/>
    </x:row>
    <x:row r="3" ht="33.95000076293945" customHeight="1">
      <x:c r="B3" s="7" t="s">
        <x:v>30</x:v>
      </x:c>
      <x:c r="C3" s="7" t="s">
        <x:v>31</x:v>
      </x:c>
      <x:c r="D3" s="7" t="s">
        <x:v>32</x:v>
      </x:c>
      <x:c r="E3" s="7" t="s">
        <x:v>33</x:v>
      </x:c>
      <x:c r="F3" s="7" t="s">
        <x:v>34</x:v>
      </x:c>
    </x:row>
    <x:row r="4" ht="54" customHeight="1">
      <x:c r="B4" s="9" t="s">
        <x:v>35</x:v>
      </x:c>
      <x:c r="C4" s="6" t="s">
        <x:v>36</x:v>
      </x:c>
      <x:c r="D4" s="6" t="s">
        <x:v>37</x:v>
      </x:c>
      <x:c r="E4" s="6" t="s">
        <x:v>38</x:v>
      </x:c>
      <x:c r="F4" s="6" t="s">
        <x:v>39</x:v>
      </x:c>
    </x:row>
    <x:row r="5" ht="54" customHeight="1">
      <x:c r="B5" s="9" t="s">
        <x:v>35</x:v>
      </x:c>
      <x:c r="C5" s="6" t="s">
        <x:v>40</x:v>
      </x:c>
      <x:c r="D5" s="6" t="s">
        <x:v>41</x:v>
      </x:c>
      <x:c r="E5" s="6" t="s">
        <x:v>42</x:v>
      </x:c>
      <x:c r="F5" s="6" t="s">
        <x:v>43</x:v>
      </x:c>
    </x:row>
    <x:row r="6" ht="54" customHeight="1">
      <x:c r="B6" s="9" t="s">
        <x:v>35</x:v>
      </x:c>
      <x:c r="C6" s="6" t="s">
        <x:v>44</x:v>
      </x:c>
      <x:c r="D6" s="6" t="s">
        <x:v>45</x:v>
      </x:c>
      <x:c r="E6" s="6" t="s">
        <x:v>46</x:v>
      </x:c>
      <x:c r="F6" s="6" t="s">
        <x:v>47</x:v>
      </x:c>
    </x:row>
    <x:row r="7" ht="54" customHeight="1">
      <x:c r="B7" s="9" t="s">
        <x:v>35</x:v>
      </x:c>
      <x:c r="C7" s="6" t="s">
        <x:v>48</x:v>
      </x:c>
      <x:c r="D7" s="6" t="s">
        <x:v>49</x:v>
      </x:c>
      <x:c r="E7" s="6" t="s">
        <x:v>46</x:v>
      </x:c>
      <x:c r="F7" s="6" t="s">
        <x:v>50</x:v>
      </x:c>
    </x:row>
    <x:row r="8" ht="54" customHeight="1">
      <x:c r="B8" s="9" t="s">
        <x:v>35</x:v>
      </x:c>
      <x:c r="C8" s="6" t="s">
        <x:v>51</x:v>
      </x:c>
      <x:c r="D8" s="6" t="s">
        <x:v>52</x:v>
      </x:c>
      <x:c r="E8" s="6" t="s">
        <x:v>53</x:v>
      </x:c>
      <x:c r="F8" s="6" t="s">
        <x:v>54</x:v>
      </x:c>
    </x:row>
    <x:row r="9" ht="54" customHeight="1">
      <x:c r="B9" s="9" t="s">
        <x:v>35</x:v>
      </x:c>
      <x:c r="C9" s="6" t="str">
        <x:v>Netlify Functions 기반 OpenAI 챗봇</x:v>
      </x:c>
      <x:c r="D9" s="48" t="str">
        <x:v>RFP의 프론트엔드 직접 호출안을 그대로 쓰지 않고, Vue에서 '/.netlify/functions/chat'을 호출하고 Netlify Function이 OPENAI_API_KEY로 OpenAI API를 호출하도록 구성</x:v>
      </x:c>
      <x:c r="E9" s="6" t="str">
        <x:v>III-3-가 + 배포 보완 결정</x:v>
      </x:c>
      <x:c r="F9" s="6" t="str">
        <x:v>정적 SPA는 유지하되 API 키 보호와 Netlify 빌드 안정성을 위해 서버리스 함수 1개를 프록시로 사용. 브라우저에는 키를 전달하지 않음</x:v>
      </x:c>
    </x:row>
    <x:row r="10" ht="54" customHeight="1">
      <x:c r="B10" s="9" t="s">
        <x:v>35</x:v>
      </x:c>
      <x:c r="C10" s="6" t="s">
        <x:v>55</x:v>
      </x:c>
      <x:c r="D10" s="6" t="s">
        <x:v>56</x:v>
      </x:c>
      <x:c r="E10" s="6" t="s">
        <x:v>57</x:v>
      </x:c>
      <x:c r="F10" s="6" t="s">
        <x:v>58</x:v>
      </x:c>
    </x:row>
    <x:row r="11" ht="54" customHeight="1">
      <x:c r="B11" s="9" t="s">
        <x:v>35</x:v>
      </x:c>
      <x:c r="C11" s="6" t="s">
        <x:v>59</x:v>
      </x:c>
      <x:c r="D11" s="6" t="s">
        <x:v>60</x:v>
      </x:c>
      <x:c r="E11" s="6" t="s">
        <x:v>61</x:v>
      </x:c>
      <x:c r="F11" s="6" t="s">
        <x:v>62</x:v>
      </x:c>
    </x:row>
    <x:row r="12" ht="54" customHeight="1">
      <x:c r="B12" s="9" t="s">
        <x:v>35</x:v>
      </x:c>
      <x:c r="C12" s="6" t="s">
        <x:v>63</x:v>
      </x:c>
      <x:c r="D12" s="6" t="s">
        <x:v>64</x:v>
      </x:c>
      <x:c r="E12" s="6" t="s">
        <x:v>65</x:v>
      </x:c>
      <x:c r="F12" s="6" t="s">
        <x:v>66</x:v>
      </x:c>
    </x:row>
    <x:row r="13" ht="54" customHeight="1">
      <x:c r="B13" s="9" t="s">
        <x:v>35</x:v>
      </x:c>
      <x:c r="C13" s="6" t="s">
        <x:v>67</x:v>
      </x:c>
      <x:c r="D13" s="6" t="str">
        <x:v>Git 저장소와 연동해 Vue SPA와 netlify/functions를 함께 배포하고 외부 URL 및 Functions 엔드포인트의 정상 동작 확인</x:v>
      </x:c>
      <x:c r="E13" s="6" t="str">
        <x:v>III-5, IV-참고1</x:v>
      </x:c>
      <x:c r="F13" s="6" t="str">
        <x:v>Build command npm run build, Publish directory dist, Functions directory netlify/functions, SPA redirect와 OPENAI_API_KEY 환경변수 설정 포함</x:v>
      </x:c>
    </x:row>
    <x:row r="14" ht="54" customHeight="1">
      <x:c r="B14" s="9" t="s">
        <x:v>35</x:v>
      </x:c>
      <x:c r="C14" s="6" t="s">
        <x:v>68</x:v>
      </x:c>
      <x:c r="D14" s="6" t="s">
        <x:v>69</x:v>
      </x:c>
      <x:c r="E14" s="6" t="s">
        <x:v>70</x:v>
      </x:c>
      <x:c r="F14" s="6" t="s">
        <x:v>71</x:v>
      </x:c>
    </x:row>
    <x:row r="15" ht="54" customHeight="1">
      <x:c r="B15" s="9" t="s">
        <x:v>72</x:v>
      </x:c>
      <x:c r="C15" s="6" t="s">
        <x:v>73</x:v>
      </x:c>
      <x:c r="D15" s="6" t="s">
        <x:v>74</x:v>
      </x:c>
      <x:c r="E15" s="6" t="s">
        <x:v>75</x:v>
      </x:c>
      <x:c r="F15" s="6" t="s">
        <x:v>76</x:v>
      </x:c>
    </x:row>
    <x:row r="16" ht="54" customHeight="1">
      <x:c r="B16" s="9" t="s">
        <x:v>77</x:v>
      </x:c>
      <x:c r="C16" s="6" t="s">
        <x:v>78</x:v>
      </x:c>
      <x:c r="D16" s="6" t="s">
        <x:v>79</x:v>
      </x:c>
      <x:c r="E16" s="6" t="s">
        <x:v>75</x:v>
      </x:c>
      <x:c r="F16" s="6" t="s">
        <x:v>80</x:v>
      </x:c>
    </x:row>
    <x:row r="17" ht="54" customHeight="1">
      <x:c r="B17" s="9" t="s">
        <x:v>77</x:v>
      </x:c>
      <x:c r="C17" s="6" t="s">
        <x:v>81</x:v>
      </x:c>
      <x:c r="D17" s="6" t="s">
        <x:v>82</x:v>
      </x:c>
      <x:c r="E17" s="6" t="s">
        <x:v>75</x:v>
      </x:c>
      <x:c r="F17" s="6" t="s">
        <x:v>83</x:v>
      </x:c>
    </x:row>
    <x:row r="18" ht="54" customHeight="1">
      <x:c r="B18" s="9" t="s">
        <x:v>84</x:v>
      </x:c>
      <x:c r="C18" s="6" t="s">
        <x:v>85</x:v>
      </x:c>
      <x:c r="D18" s="6" t="s">
        <x:v>86</x:v>
      </x:c>
      <x:c r="E18" s="6" t="s">
        <x:v>87</x:v>
      </x:c>
      <x:c r="F18" s="6" t="s">
        <x:v>88</x:v>
      </x:c>
    </x:row>
    <x:row r="19" ht="54" customHeight="1">
      <x:c r="B19" s="9" t="s">
        <x:v>84</x:v>
      </x:c>
      <x:c r="C19" s="6" t="s">
        <x:v>89</x:v>
      </x:c>
      <x:c r="D19" s="6" t="s">
        <x:v>90</x:v>
      </x:c>
      <x:c r="E19" s="6" t="s">
        <x:v>91</x:v>
      </x:c>
      <x:c r="F19" s="6" t="s">
        <x:v>92</x:v>
      </x:c>
    </x:row>
    <x:row r="20" ht="54" customHeight="1">
      <x:c r="B20" s="9" t="s">
        <x:v>84</x:v>
      </x:c>
      <x:c r="C20" s="6" t="s">
        <x:v>93</x:v>
      </x:c>
      <x:c r="D20" s="6" t="s">
        <x:v>94</x:v>
      </x:c>
      <x:c r="E20" s="6" t="s">
        <x:v>95</x:v>
      </x:c>
      <x:c r="F20" s="6" t="s">
        <x:v>96</x:v>
      </x:c>
    </x:row>
    <x:row r="21" ht="54" customHeight="1">
      <x:c r="B21" s="9" t="s">
        <x:v>84</x:v>
      </x:c>
      <x:c r="C21" s="6" t="str">
        <x:v>API 키 비노출·서버 환경변수</x:v>
      </x:c>
      <x:c r="D21" s="6" t="str">
        <x:v>OPENAI_API_KEY는 Netlify Functions 런타임에서만 참조하며 프론트엔드 VITE_ 변수, Git, 빌드 산출물에 포함하지 않음</x:v>
      </x:c>
      <x:c r="E21" s="6" t="str">
        <x:v>III-3-가 주의 + 배포 보완</x:v>
      </x:c>
      <x:c r="F21" s="6" t="str">
        <x:v>브라우저 개발자도구·정적 JS 번들·GitLab에서 키 문자열이 검색되지 않는지 배포 전 확인</x:v>
      </x:c>
    </x:row>
    <x:row r="22" ht="54" customHeight="1">
      <x:c r="B22" s="9" t="s">
        <x:v>84</x:v>
      </x:c>
      <x:c r="C22" s="6" t="s">
        <x:v>97</x:v>
      </x:c>
      <x:c r="D22" s="6" t="s">
        <x:v>98</x:v>
      </x:c>
      <x:c r="E22" s="6" t="s">
        <x:v>99</x:v>
      </x:c>
      <x:c r="F22" s="6" t="s">
        <x:v>100</x:v>
      </x:c>
    </x:row>
    <x:row r="23" ht="54" customHeight="1">
      <x:c r="B23" s="9" t="s">
        <x:v>84</x:v>
      </x:c>
      <x:c r="C23" s="6" t="s">
        <x:v>101</x:v>
      </x:c>
      <x:c r="D23" s="6" t="s">
        <x:v>102</x:v>
      </x:c>
      <x:c r="E23" s="6" t="s">
        <x:v>103</x:v>
      </x:c>
      <x:c r="F23" s="6" t="s">
        <x:v>104</x:v>
      </x:c>
    </x:row>
    <x:row r="24" ht="54" customHeight="1">
      <x:c r="B24" s="9" t="s">
        <x:v>84</x:v>
      </x:c>
      <x:c r="C24" s="6" t="s">
        <x:v>105</x:v>
      </x:c>
      <x:c r="D24" s="6" t="s">
        <x:v>106</x:v>
      </x:c>
      <x:c r="E24" s="6" t="s">
        <x:v>107</x:v>
      </x:c>
      <x:c r="F24" s="6" t="s">
        <x:v>108</x:v>
      </x:c>
    </x:row>
    <x:row r="25" ht="54" customHeight="1">
      <x:c r="B25" s="9" t="s">
        <x:v>84</x:v>
      </x:c>
      <x:c r="C25" s="6" t="s">
        <x:v>109</x:v>
      </x:c>
      <x:c r="D25" s="6" t="s">
        <x:v>110</x:v>
      </x:c>
      <x:c r="E25" s="6" t="s">
        <x:v>111</x:v>
      </x:c>
      <x:c r="F25" s="6" t="s">
        <x:v>112</x:v>
      </x:c>
    </x:row>
    <x:row r="26" ht="54" customHeight="1">
      <x:c r="B26" s="9" t="s">
        <x:v>84</x:v>
      </x:c>
      <x:c r="C26" s="6" t="s">
        <x:v>113</x:v>
      </x:c>
      <x:c r="D26" s="6" t="s">
        <x:v>114</x:v>
      </x:c>
      <x:c r="E26" s="6" t="s">
        <x:v>115</x:v>
      </x:c>
      <x:c r="F26" s="6" t="s">
        <x:v>116</x:v>
      </x:c>
    </x:row>
    <x:row r="27" ht="54" customHeight="1">
      <x:c r="B27" s="9" t="s">
        <x:v>117</x:v>
      </x:c>
      <x:c r="C27" s="6" t="s">
        <x:v>118</x:v>
      </x:c>
      <x:c r="D27" s="6" t="s">
        <x:v>119</x:v>
      </x:c>
      <x:c r="E27" s="6" t="s">
        <x:v>75</x:v>
      </x:c>
      <x:c r="F27" s="6" t="s">
        <x:v>120</x:v>
      </x:c>
    </x:row>
    <x:row r="28" ht="27">
      <x:c r="B28" s="30" t="s">
        <x:v>117</x:v>
      </x:c>
      <x:c r="C28" s="30" t="str">
        <x:v>상시 백엔드·서버 DB 제외</x:v>
      </x:c>
      <x:c r="D28" s="30" t="str">
        <x:v>회원가입·로그인, 별도 상시 백엔드 서버, 서버 DB, WebSocket 기반 다중 사용자 실시간 공유는 구현하지 않음. 단, OpenAI 호출 중계를 위한 Netlify Function 1개는 허용</x:v>
      </x:c>
      <x:c r="E28" s="30" t="str">
        <x:v>II-2, III-1-가, III-2-가 + 배포 보완</x:v>
      </x:c>
      <x:c r="F28" s="30" t="str">
        <x:v>서비스 데이터 저장은 JSON과 localStorage만 사용하며 Netlify Function은 키 보호용 요청 중계 역할만 수행</x:v>
      </x:c>
    </x:row>
  </x:sheetData>
  <x:mergeCells>
    <x:mergeCell ref="B1:F1"/>
    <x:mergeCell ref="B2:F2"/>
  </x:mergeCells>
  <x:conditionalFormatting sqref="B4:B27">
    <x:cfRule type="expression" dxfId="22" priority="6">
      <x:formula>B4="Must"</x:formula>
    </x:cfRule>
    <x:cfRule type="expression" dxfId="21" priority="7">
      <x:formula>B4="Should"</x:formula>
    </x:cfRule>
    <x:cfRule type="expression" dxfId="20" priority="8">
      <x:formula>B4="Could"</x:formula>
    </x:cfRule>
    <x:cfRule type="expression" dxfId="19" priority="9">
      <x:formula>B4="제약"</x:formula>
    </x:cfRule>
    <x:cfRule type="expression" dxfId="18" priority="10">
      <x:formula>B4="Won't"</x:formula>
    </x:cfRule>
  </x:conditionalFormatting>
  <x:conditionalFormatting sqref="B28:B28">
    <x:cfRule type="expression" dxfId="17" priority="1">
      <x:formula>B28="Must"</x:formula>
    </x:cfRule>
    <x:cfRule type="expression" dxfId="16" priority="2">
      <x:formula>B28="Should"</x:formula>
    </x:cfRule>
    <x:cfRule type="expression" dxfId="15" priority="3">
      <x:formula>B28="Could"</x:formula>
    </x:cfRule>
    <x:cfRule type="expression" dxfId="14" priority="4">
      <x:formula>B28="제약"</x:formula>
    </x:cfRule>
    <x:cfRule type="expression" dxfId="13" priority="5">
      <x:formula>B28="Won't"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2" max="2" width="27" customWidth="1"/>
    <x:col min="3" max="3" width="62" customWidth="1"/>
    <x:col min="4" max="7" width="15" customWidth="1"/>
    <x:col min="8" max="8" width="14" customWidth="1"/>
  </x:cols>
  <x:sheetData>
    <x:row r="1" ht="30" customHeight="1">
      <x:c r="B1" s="38" t="s">
        <x:v>121</x:v>
      </x:c>
      <x:c r="C1" s="38"/>
      <x:c r="D1" s="38"/>
      <x:c r="E1" s="38"/>
      <x:c r="F1" s="38"/>
      <x:c r="G1" s="38"/>
      <x:c r="H1" s="38"/>
    </x:row>
    <x:row r="2">
      <x:c r="B2" s="41" t="s">
        <x:v>122</x:v>
      </x:c>
      <x:c r="C2" s="41"/>
      <x:c r="D2" s="41"/>
      <x:c r="E2" s="41"/>
      <x:c r="F2" s="41"/>
      <x:c r="G2" s="41"/>
      <x:c r="H2" s="41"/>
    </x:row>
    <x:row r="3" ht="33.95000076293945" customHeight="1">
      <x:c r="B3" s="7" t="s">
        <x:v>123</x:v>
      </x:c>
      <x:c r="C3" s="7" t="s">
        <x:v>124</x:v>
      </x:c>
      <x:c r="D3" s="7" t="s">
        <x:v>125</x:v>
      </x:c>
      <x:c r="E3" s="7" t="s">
        <x:v>126</x:v>
      </x:c>
      <x:c r="F3" s="7" t="s">
        <x:v>127</x:v>
      </x:c>
      <x:c r="G3" s="7" t="s">
        <x:v>128</x:v>
      </x:c>
      <x:c r="H3" s="7" t="s">
        <x:v>129</x:v>
      </x:c>
    </x:row>
    <x:row r="4" ht="48" customHeight="1">
      <x:c r="B4" s="6" t="s">
        <x:v>130</x:v>
      </x:c>
      <x:c r="C4" s="6" t="s">
        <x:v>131</x:v>
      </x:c>
      <x:c r="D4" s="10">
        <x:v>4</x:v>
      </x:c>
      <x:c r="E4" s="10" t="n">
        <x:f t="shared" ref="E4:E12" si="0">6-D4</x:f>
        <x:v>2</x:v>
      </x:c>
      <x:c r="F4" s="10">
        <x:v>5</x:v>
      </x:c>
      <x:c r="G4" s="10" t="n">
        <x:f t="shared" ref="G4:G12" si="1">E4*F4*2</x:f>
        <x:v>20</x:v>
      </x:c>
      <x:c r="H4" s="10" t="s">
        <x:v>132</x:v>
      </x:c>
    </x:row>
    <x:row r="5" ht="48" customHeight="1">
      <x:c r="B5" s="6" t="s">
        <x:v>73</x:v>
      </x:c>
      <x:c r="C5" s="6" t="s">
        <x:v>133</x:v>
      </x:c>
      <x:c r="D5" s="10">
        <x:v>2</x:v>
      </x:c>
      <x:c r="E5" s="10" t="n">
        <x:f t="shared" si="0">6-D5</x:f>
        <x:v>4</x:v>
      </x:c>
      <x:c r="F5" s="10">
        <x:v>5</x:v>
      </x:c>
      <x:c r="G5" s="10" t="n">
        <x:f t="shared" si="1">E5*F5*2</x:f>
        <x:v>40</x:v>
      </x:c>
      <x:c r="H5" s="10" t="s">
        <x:v>134</x:v>
      </x:c>
    </x:row>
    <x:row r="6" ht="48" customHeight="1">
      <x:c r="B6" s="6" t="s">
        <x:v>81</x:v>
      </x:c>
      <x:c r="C6" s="6" t="s">
        <x:v>135</x:v>
      </x:c>
      <x:c r="D6" s="10">
        <x:v>3</x:v>
      </x:c>
      <x:c r="E6" s="10" t="n">
        <x:f t="shared" si="0">6-D6</x:f>
        <x:v>3</x:v>
      </x:c>
      <x:c r="F6" s="10">
        <x:v>4</x:v>
      </x:c>
      <x:c r="G6" s="10" t="n">
        <x:f t="shared" si="1">E6*F6*2</x:f>
        <x:v>24</x:v>
      </x:c>
      <x:c r="H6" s="10" t="s">
        <x:v>136</x:v>
      </x:c>
    </x:row>
    <x:row r="7" ht="48" customHeight="1">
      <x:c r="B7" s="6" t="s">
        <x:v>137</x:v>
      </x:c>
      <x:c r="C7" s="6" t="s">
        <x:v>138</x:v>
      </x:c>
      <x:c r="D7" s="10">
        <x:v>5</x:v>
      </x:c>
      <x:c r="E7" s="10" t="n">
        <x:f t="shared" si="0">6-D7</x:f>
        <x:v>1</x:v>
      </x:c>
      <x:c r="F7" s="10">
        <x:v>4</x:v>
      </x:c>
      <x:c r="G7" s="10" t="n">
        <x:f t="shared" si="1">E7*F7*2</x:f>
        <x:v>8</x:v>
      </x:c>
      <x:c r="H7" s="10" t="s">
        <x:v>132</x:v>
      </x:c>
    </x:row>
    <x:row r="8" ht="48" customHeight="1">
      <x:c r="B8" s="6" t="s">
        <x:v>139</x:v>
      </x:c>
      <x:c r="C8" s="6" t="s">
        <x:v>140</x:v>
      </x:c>
      <x:c r="D8" s="10">
        <x:v>3</x:v>
      </x:c>
      <x:c r="E8" s="10" t="n">
        <x:f t="shared" si="0">6-D8</x:f>
        <x:v>3</x:v>
      </x:c>
      <x:c r="F8" s="10">
        <x:v>3</x:v>
      </x:c>
      <x:c r="G8" s="10" t="n">
        <x:f t="shared" si="1">E8*F8*2</x:f>
        <x:v>18</x:v>
      </x:c>
      <x:c r="H8" s="10" t="s">
        <x:v>132</x:v>
      </x:c>
    </x:row>
    <x:row r="9" ht="48" customHeight="1">
      <x:c r="B9" s="6" t="s">
        <x:v>141</x:v>
      </x:c>
      <x:c r="C9" s="6" t="s">
        <x:v>142</x:v>
      </x:c>
      <x:c r="D9" s="10">
        <x:v>2</x:v>
      </x:c>
      <x:c r="E9" s="10" t="n">
        <x:f t="shared" si="0">6-D9</x:f>
        <x:v>4</x:v>
      </x:c>
      <x:c r="F9" s="10">
        <x:v>2</x:v>
      </x:c>
      <x:c r="G9" s="10" t="n">
        <x:f t="shared" si="1">E9*F9*2</x:f>
        <x:v>16</x:v>
      </x:c>
      <x:c r="H9" s="10" t="s">
        <x:v>132</x:v>
      </x:c>
    </x:row>
    <x:row r="10" ht="48" customHeight="1">
      <x:c r="B10" s="6" t="s">
        <x:v>143</x:v>
      </x:c>
      <x:c r="C10" s="6" t="s">
        <x:v>144</x:v>
      </x:c>
      <x:c r="D10" s="10">
        <x:v>4</x:v>
      </x:c>
      <x:c r="E10" s="10" t="n">
        <x:f t="shared" si="0">6-D10</x:f>
        <x:v>2</x:v>
      </x:c>
      <x:c r="F10" s="10">
        <x:v>2</x:v>
      </x:c>
      <x:c r="G10" s="10" t="n">
        <x:f t="shared" si="1">E10*F10*2</x:f>
        <x:v>8</x:v>
      </x:c>
      <x:c r="H10" s="10" t="s">
        <x:v>132</x:v>
      </x:c>
    </x:row>
    <x:row r="11" ht="48" customHeight="1">
      <x:c r="B11" s="6" t="s">
        <x:v>145</x:v>
      </x:c>
      <x:c r="C11" s="6" t="s">
        <x:v>146</x:v>
      </x:c>
      <x:c r="D11" s="10">
        <x:v>3</x:v>
      </x:c>
      <x:c r="E11" s="10" t="n">
        <x:f t="shared" si="0">6-D11</x:f>
        <x:v>3</x:v>
      </x:c>
      <x:c r="F11" s="10">
        <x:v>3</x:v>
      </x:c>
      <x:c r="G11" s="10" t="n">
        <x:f t="shared" si="1">E11*F11*2</x:f>
        <x:v>18</x:v>
      </x:c>
      <x:c r="H11" s="10" t="s">
        <x:v>132</x:v>
      </x:c>
    </x:row>
    <x:row r="12" ht="48" customHeight="1">
      <x:c r="B12" s="6" t="s">
        <x:v>78</x:v>
      </x:c>
      <x:c r="C12" s="6" t="s">
        <x:v>147</x:v>
      </x:c>
      <x:c r="D12" s="10">
        <x:v>2</x:v>
      </x:c>
      <x:c r="E12" s="10" t="n">
        <x:f t="shared" si="0">6-D12</x:f>
        <x:v>4</x:v>
      </x:c>
      <x:c r="F12" s="10">
        <x:v>4</x:v>
      </x:c>
      <x:c r="G12" s="10" t="n">
        <x:f t="shared" si="1">E12*F12*2</x:f>
        <x:v>32</x:v>
      </x:c>
      <x:c r="H12" s="10" t="s">
        <x:v>148</x:v>
      </x:c>
    </x:row>
    <x:row r="13" ht="24" customHeight="1">
      <x:c r="B13" s="39" t="s">
        <x:v>149</x:v>
      </x:c>
      <x:c r="C13" s="39"/>
      <x:c r="D13" s="39"/>
      <x:c r="E13" s="39"/>
      <x:c r="F13" s="39"/>
      <x:c r="G13" s="39"/>
      <x:c r="H13" s="39"/>
    </x:row>
    <x:row r="14" ht="92.0999984741211" customHeight="1">
      <x:c r="B14" s="42" t="s">
        <x:v>150</x:v>
      </x:c>
      <x:c r="C14" s="42"/>
      <x:c r="D14" s="42"/>
      <x:c r="E14" s="42"/>
      <x:c r="F14" s="42"/>
      <x:c r="G14" s="42"/>
      <x:c r="H14" s="42"/>
    </x:row>
    <x:row r="15">
      <x:c r="B15" s="42"/>
      <x:c r="C15" s="42"/>
      <x:c r="D15" s="42"/>
      <x:c r="E15" s="42"/>
      <x:c r="F15" s="42"/>
      <x:c r="G15" s="42"/>
      <x:c r="H15" s="42"/>
    </x:row>
    <x:row r="16">
      <x:c r="B16" s="42"/>
      <x:c r="C16" s="42"/>
      <x:c r="D16" s="42"/>
      <x:c r="E16" s="42"/>
      <x:c r="F16" s="42"/>
      <x:c r="G16" s="42"/>
      <x:c r="H16" s="42"/>
    </x:row>
  </x:sheetData>
  <x:mergeCells>
    <x:mergeCell ref="B1:H1"/>
    <x:mergeCell ref="B2:H2"/>
    <x:mergeCell ref="B13:H13"/>
    <x:mergeCell ref="B14:H16"/>
  </x:mergeCells>
  <x:conditionalFormatting sqref="G4:G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4:H12">
    <x:cfRule type="expression" dxfId="12" priority="2">
      <x:formula>H4="선정"</x:formula>
    </x:cfRule>
    <x:cfRule type="expression" dxfId="11" priority="3">
      <x:formula>H4="예비"</x:formula>
    </x:cfRule>
    <x:cfRule type="expression" dxfId="10" priority="4">
      <x:formula>H4="제외"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2" max="2" width="18" hidden="0" customWidth="1"/>
    <x:col min="3" max="3" width="36" hidden="0" customWidth="1"/>
    <x:col min="4" max="4" width="68" hidden="0" customWidth="1"/>
    <x:col min="5" max="6" width="12" customWidth="1"/>
    <x:col min="1" max="1" width="4" hidden="0" customWidth="1"/>
  </x:cols>
  <x:sheetData>
    <x:row r="1" ht="30" customHeight="1">
      <x:c r="B1" s="151" t="str">
        <x:v>LocalHub MVP 정의서 — 서울·데이터 시각화 대시보드·Netlify Functions</x:v>
      </x:c>
      <x:c r="C1" s="151"/>
      <x:c r="D1" s="151"/>
      <x:c r="E1" s="38"/>
      <x:c r="F1" s="38"/>
    </x:row>
    <x:row r="2" ht="26" customHeight="1">
      <x:c r="B2" s="166" t="str">
        <x:v>MVP: 핵심 기능만 담아 3일 안에 안정적으로 완성하는 최소 버전</x:v>
      </x:c>
      <x:c r="C2" s="166"/>
      <x:c r="D2" s="166"/>
      <x:c r="E2" s="41"/>
      <x:c r="F2" s="41"/>
    </x:row>
    <x:row r="3" ht="44" customHeight="1">
      <x:c r="B3" s="194" t="str">
        <x:v>선정 권역</x:v>
      </x:c>
      <x:c r="C3" s="196" t="str">
        <x:v>서울</x:v>
      </x:c>
      <x:c r="D3" s="196"/>
      <x:c r="E3" s="44"/>
      <x:c r="F3" s="44"/>
    </x:row>
    <x:row r="4" ht="44" customHeight="1">
      <x:c r="B4" s="194" t="str">
        <x:v>핵심 문제</x:v>
      </x:c>
      <x:c r="C4" s="197" t="str">
        <x:v>서울 관광·문화·축제 정보를 여러 사이트에서 찾아야 하고, 지역 경험을 한곳에서 기록·조회하기 어려운 문제</x:v>
      </x:c>
      <x:c r="D4" s="197"/>
      <x:c r="E4" s="47"/>
      <x:c r="F4" s="47"/>
    </x:row>
    <x:row r="5" ht="44" customHeight="1">
      <x:c r="B5" s="194" t="str">
        <x:v>타깃 사용자</x:v>
      </x:c>
      <x:c r="C5" s="197" t="str">
        <x:v>서울을 방문하는 관광객, 서울 시민, 지역 관광·축제 정보를 한곳에서 확인하려는 사용자</x:v>
      </x:c>
      <x:c r="D5" s="197"/>
      <x:c r="E5" s="47"/>
      <x:c r="F5" s="47"/>
    </x:row>
    <x:row r="6" ht="44" customHeight="1">
      <x:c r="B6" s="194" t="str">
        <x:v>성공 지표</x:v>
      </x:c>
      <x:c r="C6" s="197" t="str">
        <x:v>서울 JSON 조회·검색 / 익명 CRUD / Netlify Functions 챗봇 / 모바일 / Netlify 배포 / 데이터 시각화 대시보드 정상 동작</x:v>
      </x:c>
      <x:c r="D6" s="197"/>
      <x:c r="E6" s="47"/>
      <x:c r="F6" s="47"/>
    </x:row>
    <x:row r="7" ht="24" customHeight="1">
      <x:c r="B7" s="171" t="str">
        <x:v>Must have — 반드시 포함</x:v>
      </x:c>
      <x:c r="C7" s="171"/>
      <x:c r="D7" s="171"/>
      <x:c r="E7" s="45"/>
      <x:c r="F7" s="45"/>
    </x:row>
    <x:row r="8" ht="46" customHeight="1">
      <x:c r="B8" s="200" t="n">
        <x:v>1</x:v>
      </x:c>
      <x:c r="C8" s="185" t="str">
        <x:v>Vue.js 3 + Vite SPA / 서울 권역 정보</x:v>
      </x:c>
      <x:c r="D8" s="180" t="str">
        <x:v>제공 JSON을 프론트엔드에서 불러와 관광지·문화시설·축제·숙박 등 지역 정보를 조회</x:v>
      </x:c>
      <x:c r="E8" s="47"/>
      <x:c r="F8" s="47"/>
    </x:row>
    <x:row r="9" ht="46" customHeight="1">
      <x:c r="B9" s="200" t="n">
        <x:v>2</x:v>
      </x:c>
      <x:c r="C9" s="185" t="str">
        <x:v>익명 커뮤니티 CRUD</x:v>
      </x:c>
      <x:c r="D9" s="180" t="str">
        <x:v>회원가입 없이 게시글 목록·상세·작성·수정·삭제 구현</x:v>
      </x:c>
      <x:c r="E9" s="47"/>
      <x:c r="F9" s="47"/>
    </x:row>
    <x:row r="10" ht="46" customHeight="1">
      <x:c r="B10" s="200" t="n">
        <x:v>3</x:v>
      </x:c>
      <x:c r="C10" s="185" t="str">
        <x:v>localStorage + 비밀번호 검증</x:v>
      </x:c>
      <x:c r="D10" s="180" t="str">
        <x:v>제목·내용·수정용 비밀번호를 저장하고 수정·삭제 시 프론트엔드에서 일치 여부 확인</x:v>
      </x:c>
      <x:c r="E10" s="47"/>
      <x:c r="F10" s="47"/>
    </x:row>
    <x:row r="11" ht="46" customHeight="1">
      <x:c r="B11" s="200" t="n">
        <x:v>4</x:v>
      </x:c>
      <x:c r="C11" s="185" t="str">
        <x:v>OpenAI 챗봇 + Netlify Functions</x:v>
      </x:c>
      <x:c r="D11" s="180" t="str">
        <x:v>Vue는 /.netlify/functions/chat을 호출하고 Function이 OPENAI_API_KEY로 OpenAI API를 호출</x:v>
      </x:c>
      <x:c r="E11" s="47"/>
      <x:c r="F11" s="47"/>
    </x:row>
    <x:row r="12" ht="46" customHeight="1">
      <x:c r="B12" s="200" t="n">
        <x:v>5</x:v>
      </x:c>
      <x:c r="C12" s="185" t="str">
        <x:v>Netlify 통합 배포 + 키 관리</x:v>
      </x:c>
      <x:c r="D12" s="180" t="str">
        <x:v>Vue SPA와 Functions를 함께 배포하고 운영 키는 Netlify 서버 환경변수에만 등록</x:v>
      </x:c>
      <x:c r="E12" s="47"/>
      <x:c r="F12" s="47"/>
    </x:row>
    <x:row r="13" ht="46" customHeight="1">
      <x:c r="B13" s="200" t="n">
        <x:v>6</x:v>
      </x:c>
      <x:c r="C13" s="185" t="str">
        <x:v>제출 산출물</x:v>
      </x:c>
      <x:c r="D13" s="180" t="str">
        <x:v>Git Repository URL, Netlify URL, 기능명세서, WBS, 발표 PPT/PDF 제출</x:v>
      </x:c>
      <x:c r="E13" s="47"/>
      <x:c r="F13" s="47"/>
    </x:row>
    <x:row r="14" ht="24" customHeight="1">
      <x:c r="B14" s="156" t="str">
        <x:v>Should / Could have — 선택 기능</x:v>
      </x:c>
      <x:c r="C14" s="156"/>
      <x:c r="D14" s="156"/>
      <x:c r="E14" s="39"/>
      <x:c r="F14" s="39"/>
    </x:row>
    <x:row r="15" ht="44" customHeight="1">
      <x:c r="B15" s="194" t="str">
        <x:v>1순위</x:v>
      </x:c>
      <x:c r="C15" s="185" t="str">
        <x:v>데이터 시각화 대시보드</x:v>
      </x:c>
      <x:c r="D15" s="180" t="str">
        <x:v>Chart.js로 카테고리별 콘텐츠 수, 게시글 수, 지역별 분포 등 핵심 통계 시각화</x:v>
      </x:c>
      <x:c r="E15" s="47"/>
      <x:c r="F15" s="47"/>
    </x:row>
    <x:row r="16" ht="44" customHeight="1">
      <x:c r="B16" s="194" t="str">
        <x:v>예비 1</x:v>
      </x:c>
      <x:c r="C16" s="185" t="str">
        <x:v>커뮤니티 게시판 추가기능</x:v>
      </x:c>
      <x:c r="D16" s="180" t="str">
        <x:v>게시글 검색, 조회수, 좋아요, 북마크</x:v>
      </x:c>
      <x:c r="E16" s="47"/>
      <x:c r="F16" s="47"/>
    </x:row>
    <x:row r="17" ht="44" customHeight="1">
      <x:c r="B17" s="194" t="str">
        <x:v>예비 2</x:v>
      </x:c>
      <x:c r="C17" s="185" t="str">
        <x:v>축제 캘린더</x:v>
      </x:c>
      <x:c r="D17" s="180" t="str">
        <x:v>제공 JSON에 날짜 필드가 있을 때 월·목록형 일정 화면 추가</x:v>
      </x:c>
      <x:c r="E17" s="47"/>
      <x:c r="F17" s="47"/>
    </x:row>
    <x:row r="18" ht="24" customHeight="1">
      <x:c r="B18" s="175" t="str">
        <x:v>Won't have — 이번 MVP 범위에서 제외</x:v>
      </x:c>
      <x:c r="C18" s="175"/>
      <x:c r="D18" s="175"/>
      <x:c r="E18" s="46"/>
      <x:c r="F18" s="46"/>
    </x:row>
    <x:row r="19" ht="38" customHeight="1">
      <x:c r="B19" s="191" t="str">
        <x:v>• 지도 시각화·경로 안내 — 외부 지도 API와 경로 계산 범위가 커서 제외</x:v>
      </x:c>
      <x:c r="C19" s="191"/>
      <x:c r="D19" s="191"/>
      <x:c r="E19" s="43"/>
      <x:c r="F19" s="43"/>
    </x:row>
    <x:row r="20" ht="38" customHeight="1">
      <x:c r="B20" s="191" t="str">
        <x:v>• 날씨·실시간 알림·다국어·소셜 공유 — 3일 일정과 외부 API·SDK 테스트 부담으로 제외</x:v>
      </x:c>
      <x:c r="C20" s="191"/>
      <x:c r="D20" s="191"/>
      <x:c r="E20" s="43"/>
      <x:c r="F20" s="43"/>
    </x:row>
    <x:row r="21" ht="38" customHeight="1">
      <x:c r="B21" s="191" t="str">
        <x:v>• 회원가입·로그인 — RFP의 익명 게시판 요구에 따라 제외</x:v>
      </x:c>
      <x:c r="C21" s="191"/>
      <x:c r="D21" s="191"/>
      <x:c r="E21" s="43"/>
      <x:c r="F21" s="43"/>
    </x:row>
    <x:row r="22" ht="38" customHeight="1">
      <x:c r="B22" s="191" t="str">
        <x:v>• 상시 백엔드 서버·서버 DB·WebSocket — JSON + localStorage를 유지하고 OpenAI 중계용 Netlify Function 1개만 사용</x:v>
      </x:c>
      <x:c r="C22" s="191"/>
      <x:c r="D22" s="191"/>
      <x:c r="E22" s="43"/>
      <x:c r="F22" s="43"/>
    </x:row>
    <x:row r="23" ht="38" customHeight="1">
      <x:c r="B23" s="191" t="str">
        <x:v>• Claude Code·Cursor·Codex·Antigravity — 허용되지 않은 AI 코딩 도구이므로 사용하지 않음</x:v>
      </x:c>
      <x:c r="C23" s="191"/>
      <x:c r="D23" s="191"/>
      <x:c r="E23" s="43"/>
      <x:c r="F23" s="43"/>
    </x:row>
    <x:row r="24" ht="38" customHeight="1">
      <x:c r="B24" s="191" t="str">
        <x:v>• 제공되지 않은 데이터 가정 — 실제 파일이 없는 음식점·날짜 정보는 임의 생성하지 않음</x:v>
      </x:c>
      <x:c r="C24" s="191"/>
      <x:c r="D24" s="191"/>
      <x:c r="E24" s="43"/>
      <x:c r="F24" s="43"/>
    </x:row>
  </x:sheetData>
  <x:mergeCells>
    <x:mergeCell ref="B1:D1"/>
    <x:mergeCell ref="B2:D2"/>
    <x:mergeCell ref="C3:D3"/>
    <x:mergeCell ref="C4:D4"/>
    <x:mergeCell ref="C5:D5"/>
    <x:mergeCell ref="C6:D6"/>
    <x:mergeCell ref="B7:D7"/>
    <x:mergeCell ref="B14:D14"/>
    <x:mergeCell ref="B18:D18"/>
    <x:mergeCell ref="B19:D19"/>
    <x:mergeCell ref="B20:D20"/>
    <x:mergeCell ref="B21:D21"/>
    <x:mergeCell ref="B22:D22"/>
    <x:mergeCell ref="B23:D23"/>
    <x:mergeCell ref="B24:D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2" max="2" width="7" customWidth="1"/>
    <x:col min="3" max="3" width="14" customWidth="1"/>
    <x:col min="4" max="4" width="54" customWidth="1"/>
    <x:col min="5" max="5" width="18" customWidth="1"/>
    <x:col min="6" max="8" width="10" customWidth="1"/>
    <x:col min="9" max="10" width="13" customWidth="1"/>
    <x:col min="11" max="13" width="11" customWidth="1"/>
  </x:cols>
  <x:sheetData>
    <x:row r="1" ht="30" customHeight="1">
      <x:c r="B1" s="38" t="s">
        <x:v>151</x:v>
      </x:c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>
      <x:c r="B2" s="41" t="s">
        <x:v>152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3" ht="33.95000076293945" customHeight="1">
      <x:c r="B3" s="7" t="s">
        <x:v>153</x:v>
      </x:c>
      <x:c r="C3" s="7" t="s">
        <x:v>154</x:v>
      </x:c>
      <x:c r="D3" s="7" t="s">
        <x:v>155</x:v>
      </x:c>
      <x:c r="E3" s="7" t="s">
        <x:v>156</x:v>
      </x:c>
      <x:c r="F3" s="7" t="s">
        <x:v>157</x:v>
      </x:c>
      <x:c r="G3" s="7" t="s">
        <x:v>158</x:v>
      </x:c>
      <x:c r="H3" s="7" t="s">
        <x:v>159</x:v>
      </x:c>
      <x:c r="I3" s="7" t="s">
        <x:v>160</x:v>
      </x:c>
      <x:c r="J3" s="7" t="s">
        <x:v>161</x:v>
      </x:c>
      <x:c r="K3" s="12">
        <x:v>1</x:v>
      </x:c>
      <x:c r="L3" s="12">
        <x:v>2</x:v>
      </x:c>
      <x:c r="M3" s="12">
        <x:v>3</x:v>
      </x:c>
    </x:row>
    <x:row r="4" ht="38.099998474121094" customHeight="1">
      <x:c r="B4" s="10">
        <x:v>1</x:v>
      </x:c>
      <x:c r="C4" s="32" t="s">
        <x:v>162</x:v>
      </x:c>
      <x:c r="D4" s="6" t="s">
        <x:v>163</x:v>
      </x:c>
      <x:c r="E4" s="6" t="str">
        <x:v>팀원 A(PM)</x:v>
      </x:c>
      <x:c r="F4" s="10">
        <x:v>1</x:v>
      </x:c>
      <x:c r="G4" s="10">
        <x:v>1</x:v>
      </x:c>
      <x:c r="H4" s="10" t="n">
        <x:f t="shared" ref="H4:H18" si="0">G4-F4+1</x:f>
        <x:v>1</x:v>
      </x:c>
      <x:c r="I4" s="13">
        <x:v>0</x:v>
      </x:c>
      <x:c r="J4" s="10" t="s">
        <x:v>164</x:v>
      </x:c>
      <x:c r="K4" s="14" t="str">
        <x:f t="shared" ref="K4:K18" si="1">IF(AND(1&gt;=F4,1&lt;=G4),"■","")</x:f>
        <x:v>■</x:v>
      </x:c>
      <x:c r="L4" s="14" t="str">
        <x:f t="shared" ref="L4:L18" si="2">IF(AND(2&gt;=F4,2&lt;=G4),"■","")</x:f>
      </x:c>
      <x:c r="M4" s="14" t="str">
        <x:f t="shared" ref="M4:M18" si="3">IF(AND(3&gt;=F4,3&lt;=G4),"■","")</x:f>
      </x:c>
    </x:row>
    <x:row r="5" ht="38.099998474121094" customHeight="1">
      <x:c r="B5" s="10">
        <x:v>2</x:v>
      </x:c>
      <x:c r="C5" s="32" t="s">
        <x:v>162</x:v>
      </x:c>
      <x:c r="D5" s="6" t="s">
        <x:v>165</x:v>
      </x:c>
      <x:c r="E5" s="6" t="str">
        <x:v>팀원 B(데이터)</x:v>
      </x:c>
      <x:c r="F5" s="10">
        <x:v>1</x:v>
      </x:c>
      <x:c r="G5" s="10">
        <x:v>1</x:v>
      </x:c>
      <x:c r="H5" s="10" t="n">
        <x:f t="shared" si="0">G5-F5+1</x:f>
        <x:v>1</x:v>
      </x:c>
      <x:c r="I5" s="13">
        <x:v>0</x:v>
      </x:c>
      <x:c r="J5" s="10" t="s">
        <x:v>164</x:v>
      </x:c>
      <x:c r="K5" s="14" t="str">
        <x:f t="shared" si="1"/>
        <x:v>■</x:v>
      </x:c>
      <x:c r="L5" s="14" t="str">
        <x:f t="shared" si="2"/>
      </x:c>
      <x:c r="M5" s="14" t="str">
        <x:f t="shared" si="3"/>
      </x:c>
    </x:row>
    <x:row r="6" ht="38.099998474121094" customHeight="1">
      <x:c r="B6" s="10">
        <x:v>3</x:v>
      </x:c>
      <x:c r="C6" s="33" t="s">
        <x:v>166</x:v>
      </x:c>
      <x:c r="D6" s="6" t="s">
        <x:v>167</x:v>
      </x:c>
      <x:c r="E6" s="6" t="str">
        <x:v>팀원 A(FE)</x:v>
      </x:c>
      <x:c r="F6" s="10">
        <x:v>1</x:v>
      </x:c>
      <x:c r="G6" s="10">
        <x:v>1</x:v>
      </x:c>
      <x:c r="H6" s="10" t="n">
        <x:f t="shared" si="0">G6-F6+1</x:f>
        <x:v>1</x:v>
      </x:c>
      <x:c r="I6" s="13">
        <x:v>0</x:v>
      </x:c>
      <x:c r="J6" s="10" t="s">
        <x:v>164</x:v>
      </x:c>
      <x:c r="K6" s="14" t="str">
        <x:f t="shared" si="1"/>
        <x:v>■</x:v>
      </x:c>
      <x:c r="L6" s="14" t="str">
        <x:f t="shared" si="2"/>
      </x:c>
      <x:c r="M6" s="14" t="str">
        <x:f t="shared" si="3"/>
      </x:c>
    </x:row>
    <x:row r="7" ht="38.099998474121094" customHeight="1">
      <x:c r="B7" s="10">
        <x:v>4</x:v>
      </x:c>
      <x:c r="C7" s="33" t="s">
        <x:v>166</x:v>
      </x:c>
      <x:c r="D7" s="6" t="s">
        <x:v>168</x:v>
      </x:c>
      <x:c r="E7" s="6" t="str">
        <x:v>팀원 C(CRUD)</x:v>
      </x:c>
      <x:c r="F7" s="10">
        <x:v>1</x:v>
      </x:c>
      <x:c r="G7" s="10">
        <x:v>1</x:v>
      </x:c>
      <x:c r="H7" s="10" t="n">
        <x:f t="shared" si="0">G7-F7+1</x:f>
        <x:v>1</x:v>
      </x:c>
      <x:c r="I7" s="13">
        <x:v>0</x:v>
      </x:c>
      <x:c r="J7" s="10" t="s">
        <x:v>164</x:v>
      </x:c>
      <x:c r="K7" s="14" t="str">
        <x:f t="shared" si="1"/>
        <x:v>■</x:v>
      </x:c>
      <x:c r="L7" s="14" t="str">
        <x:f t="shared" si="2"/>
      </x:c>
      <x:c r="M7" s="14" t="str">
        <x:f t="shared" si="3"/>
      </x:c>
    </x:row>
    <x:row r="8" ht="38.099998474121094" customHeight="1">
      <x:c r="B8" s="10">
        <x:v>5</x:v>
      </x:c>
      <x:c r="C8" s="33" t="s">
        <x:v>166</x:v>
      </x:c>
      <x:c r="D8" s="6" t="str">
        <x:v>Netlify Function 요청·응답 스키마, 프롬프트·서울 JSON 컨텍스트·호출 제한 설계</x:v>
      </x:c>
      <x:c r="E8" s="6" t="str">
        <x:v>팀원 C(챗봇)</x:v>
      </x:c>
      <x:c r="F8" s="10">
        <x:v>1</x:v>
      </x:c>
      <x:c r="G8" s="10">
        <x:v>1</x:v>
      </x:c>
      <x:c r="H8" s="10" t="n">
        <x:f t="shared" si="0">G8-F8+1</x:f>
        <x:v>1</x:v>
      </x:c>
      <x:c r="I8" s="13">
        <x:v>0</x:v>
      </x:c>
      <x:c r="J8" s="10" t="s">
        <x:v>164</x:v>
      </x:c>
      <x:c r="K8" s="14" t="str">
        <x:f t="shared" si="1"/>
        <x:v>■</x:v>
      </x:c>
      <x:c r="L8" s="14" t="str">
        <x:f t="shared" si="2"/>
      </x:c>
      <x:c r="M8" s="14" t="str">
        <x:f t="shared" si="3"/>
      </x:c>
    </x:row>
    <x:row r="9" ht="38.099998474121094" customHeight="1">
      <x:c r="B9" s="10">
        <x:v>6</x:v>
      </x:c>
      <x:c r="C9" s="34" t="s">
        <x:v>169</x:v>
      </x:c>
      <x:c r="D9" s="6" t="s">
        <x:v>170</x:v>
      </x:c>
      <x:c r="E9" s="6" t="str">
        <x:v>팀원 A(FE)</x:v>
      </x:c>
      <x:c r="F9" s="10">
        <x:v>1</x:v>
      </x:c>
      <x:c r="G9" s="10">
        <x:v>2</x:v>
      </x:c>
      <x:c r="H9" s="10" t="n">
        <x:f t="shared" si="0">G9-F9+1</x:f>
        <x:v>2</x:v>
      </x:c>
      <x:c r="I9" s="13">
        <x:v>0</x:v>
      </x:c>
      <x:c r="J9" s="10" t="s">
        <x:v>164</x:v>
      </x:c>
      <x:c r="K9" s="14" t="str">
        <x:f t="shared" si="1"/>
        <x:v>■</x:v>
      </x:c>
      <x:c r="L9" s="14" t="str">
        <x:f t="shared" si="2"/>
        <x:v>■</x:v>
      </x:c>
      <x:c r="M9" s="14" t="str">
        <x:f t="shared" si="3"/>
      </x:c>
    </x:row>
    <x:row r="10" ht="38.099998474121094" customHeight="1">
      <x:c r="B10" s="10">
        <x:v>7</x:v>
      </x:c>
      <x:c r="C10" s="34" t="s">
        <x:v>169</x:v>
      </x:c>
      <x:c r="D10" s="6" t="s">
        <x:v>171</x:v>
      </x:c>
      <x:c r="E10" s="6" t="str">
        <x:v>팀원 B(데이터/FE)</x:v>
      </x:c>
      <x:c r="F10" s="10">
        <x:v>2</x:v>
      </x:c>
      <x:c r="G10" s="10">
        <x:v>2</x:v>
      </x:c>
      <x:c r="H10" s="10" t="n">
        <x:f t="shared" si="0">G10-F10+1</x:f>
        <x:v>1</x:v>
      </x:c>
      <x:c r="I10" s="13">
        <x:v>0</x:v>
      </x:c>
      <x:c r="J10" s="10" t="s">
        <x:v>164</x:v>
      </x:c>
      <x:c r="K10" s="14" t="str">
        <x:f t="shared" si="1"/>
      </x:c>
      <x:c r="L10" s="14" t="str">
        <x:f t="shared" si="2"/>
        <x:v>■</x:v>
      </x:c>
      <x:c r="M10" s="14" t="str">
        <x:f t="shared" si="3"/>
      </x:c>
    </x:row>
    <x:row r="11" ht="38.099998474121094" customHeight="1">
      <x:c r="B11" s="10">
        <x:v>8</x:v>
      </x:c>
      <x:c r="C11" s="34" t="s">
        <x:v>169</x:v>
      </x:c>
      <x:c r="D11" s="6" t="s">
        <x:v>172</x:v>
      </x:c>
      <x:c r="E11" s="6" t="str">
        <x:v>팀원 C(CRUD)</x:v>
      </x:c>
      <x:c r="F11" s="10">
        <x:v>2</x:v>
      </x:c>
      <x:c r="G11" s="10">
        <x:v>2</x:v>
      </x:c>
      <x:c r="H11" s="10" t="n">
        <x:f t="shared" si="0">G11-F11+1</x:f>
        <x:v>1</x:v>
      </x:c>
      <x:c r="I11" s="13">
        <x:v>0</x:v>
      </x:c>
      <x:c r="J11" s="10" t="s">
        <x:v>164</x:v>
      </x:c>
      <x:c r="K11" s="14" t="str">
        <x:f t="shared" si="1"/>
      </x:c>
      <x:c r="L11" s="14" t="str">
        <x:f t="shared" si="2"/>
        <x:v>■</x:v>
      </x:c>
      <x:c r="M11" s="14" t="str">
        <x:f t="shared" si="3"/>
      </x:c>
    </x:row>
    <x:row r="12" ht="38.099998474121094" customHeight="1">
      <x:c r="B12" s="10">
        <x:v>9</x:v>
      </x:c>
      <x:c r="C12" s="34" t="s">
        <x:v>169</x:v>
      </x:c>
      <x:c r="D12" s="6" t="s">
        <x:v>173</x:v>
      </x:c>
      <x:c r="E12" s="6" t="str">
        <x:v>팀원 B(대시보드)</x:v>
      </x:c>
      <x:c r="F12" s="10">
        <x:v>2</x:v>
      </x:c>
      <x:c r="G12" s="10">
        <x:v>3</x:v>
      </x:c>
      <x:c r="H12" s="10" t="n">
        <x:f t="shared" si="0">G12-F12+1</x:f>
        <x:v>2</x:v>
      </x:c>
      <x:c r="I12" s="13">
        <x:v>0</x:v>
      </x:c>
      <x:c r="J12" s="10" t="s">
        <x:v>164</x:v>
      </x:c>
      <x:c r="K12" s="14" t="str">
        <x:f t="shared" si="1"/>
      </x:c>
      <x:c r="L12" s="14" t="str">
        <x:f t="shared" si="2"/>
        <x:v>■</x:v>
      </x:c>
      <x:c r="M12" s="14" t="str">
        <x:f t="shared" si="3"/>
        <x:v>■</x:v>
      </x:c>
    </x:row>
    <x:row r="13" ht="38.099998474121094" customHeight="1">
      <x:c r="B13" s="10">
        <x:v>10</x:v>
      </x:c>
      <x:c r="C13" s="34" t="s">
        <x:v>169</x:v>
      </x:c>
      <x:c r="D13" s="6" t="str">
        <x:v>Netlify Function(OpenAI 중계)·대화 히스토리·플로팅 챗봇 UI 구현</x:v>
      </x:c>
      <x:c r="E13" s="6" t="str">
        <x:v>팀원 C(챗봇)</x:v>
      </x:c>
      <x:c r="F13" s="10">
        <x:v>2</x:v>
      </x:c>
      <x:c r="G13" s="10">
        <x:v>2</x:v>
      </x:c>
      <x:c r="H13" s="10" t="n">
        <x:f t="shared" si="0">G13-F13+1</x:f>
        <x:v>1</x:v>
      </x:c>
      <x:c r="I13" s="13">
        <x:v>0</x:v>
      </x:c>
      <x:c r="J13" s="10" t="s">
        <x:v>164</x:v>
      </x:c>
      <x:c r="K13" s="14" t="str">
        <x:f t="shared" si="1"/>
      </x:c>
      <x:c r="L13" s="14" t="str">
        <x:f t="shared" si="2"/>
        <x:v>■</x:v>
      </x:c>
      <x:c r="M13" s="14" t="str">
        <x:f t="shared" si="3"/>
      </x:c>
    </x:row>
    <x:row r="14" ht="38.099998474121094" customHeight="1">
      <x:c r="B14" s="10">
        <x:v>11</x:v>
      </x:c>
      <x:c r="C14" s="34" t="s">
        <x:v>169</x:v>
      </x:c>
      <x:c r="D14" s="6" t="s">
        <x:v>174</x:v>
      </x:c>
      <x:c r="E14" s="6" t="str">
        <x:v>팀원 A(FE)</x:v>
      </x:c>
      <x:c r="F14" s="10">
        <x:v>2</x:v>
      </x:c>
      <x:c r="G14" s="10">
        <x:v>3</x:v>
      </x:c>
      <x:c r="H14" s="10" t="n">
        <x:f t="shared" si="0">G14-F14+1</x:f>
        <x:v>2</x:v>
      </x:c>
      <x:c r="I14" s="13">
        <x:v>0</x:v>
      </x:c>
      <x:c r="J14" s="10" t="s">
        <x:v>164</x:v>
      </x:c>
      <x:c r="K14" s="14" t="str">
        <x:f t="shared" si="1"/>
      </x:c>
      <x:c r="L14" s="14" t="str">
        <x:f t="shared" si="2"/>
        <x:v>■</x:v>
      </x:c>
      <x:c r="M14" s="14" t="str">
        <x:f t="shared" si="3"/>
        <x:v>■</x:v>
      </x:c>
    </x:row>
    <x:row r="15" ht="38.099998474121094" customHeight="1">
      <x:c r="B15" s="10">
        <x:v>12</x:v>
      </x:c>
      <x:c r="C15" s="31" t="s">
        <x:v>175</x:v>
      </x:c>
      <x:c r="D15" s="6" t="s">
        <x:v>176</x:v>
      </x:c>
      <x:c r="E15" s="6" t="str">
        <x:v>팀전체</x:v>
      </x:c>
      <x:c r="F15" s="10">
        <x:v>3</x:v>
      </x:c>
      <x:c r="G15" s="10">
        <x:v>3</x:v>
      </x:c>
      <x:c r="H15" s="10" t="n">
        <x:f t="shared" si="0">G15-F15+1</x:f>
        <x:v>1</x:v>
      </x:c>
      <x:c r="I15" s="13">
        <x:v>0</x:v>
      </x:c>
      <x:c r="J15" s="10" t="s">
        <x:v>177</x:v>
      </x:c>
      <x:c r="K15" s="14" t="str">
        <x:f t="shared" si="1"/>
      </x:c>
      <x:c r="L15" s="14" t="str">
        <x:f t="shared" si="2"/>
      </x:c>
      <x:c r="M15" s="14" t="str">
        <x:f t="shared" si="3"/>
        <x:v>■</x:v>
      </x:c>
    </x:row>
    <x:row r="16" ht="38.099998474121094" customHeight="1">
      <x:c r="B16" s="10">
        <x:v>13</x:v>
      </x:c>
      <x:c r="C16" s="35" t="s">
        <x:v>178</x:v>
      </x:c>
      <x:c r="D16" s="6" t="str">
        <x:v>Netlify Functions·OPENAI_API_KEY·SPA redirect·Git 연동 통합 배포</x:v>
      </x:c>
      <x:c r="E16" s="6" t="str">
        <x:v>팀원 A(배포)</x:v>
      </x:c>
      <x:c r="F16" s="10">
        <x:v>3</x:v>
      </x:c>
      <x:c r="G16" s="10">
        <x:v>3</x:v>
      </x:c>
      <x:c r="H16" s="10" t="n">
        <x:f t="shared" si="0">G16-F16+1</x:f>
        <x:v>1</x:v>
      </x:c>
      <x:c r="I16" s="13">
        <x:v>0</x:v>
      </x:c>
      <x:c r="J16" s="10" t="s">
        <x:v>164</x:v>
      </x:c>
      <x:c r="K16" s="14" t="str">
        <x:f t="shared" si="1"/>
      </x:c>
      <x:c r="L16" s="14" t="str">
        <x:f t="shared" si="2"/>
      </x:c>
      <x:c r="M16" s="14" t="str">
        <x:f t="shared" si="3"/>
        <x:v>■</x:v>
      </x:c>
    </x:row>
    <x:row r="17" ht="38.099998474121094" customHeight="1">
      <x:c r="B17" s="10">
        <x:v>14</x:v>
      </x:c>
      <x:c r="C17" s="36" t="s">
        <x:v>179</x:v>
      </x:c>
      <x:c r="D17" s="6" t="str">
        <x:v>CRUD·Functions 챗봇·대시보드·모바일 통합 테스트 및 기능명세서·README·키 비노출 점검</x:v>
      </x:c>
      <x:c r="E17" s="6" t="str">
        <x:v>팀전체(주: B)</x:v>
      </x:c>
      <x:c r="F17" s="10">
        <x:v>3</x:v>
      </x:c>
      <x:c r="G17" s="10">
        <x:v>3</x:v>
      </x:c>
      <x:c r="H17" s="10" t="n">
        <x:f t="shared" si="0">G17-F17+1</x:f>
        <x:v>1</x:v>
      </x:c>
      <x:c r="I17" s="13">
        <x:v>0</x:v>
      </x:c>
      <x:c r="J17" s="10" t="s">
        <x:v>164</x:v>
      </x:c>
      <x:c r="K17" s="14" t="str">
        <x:f t="shared" si="1"/>
      </x:c>
      <x:c r="L17" s="14" t="str">
        <x:f t="shared" si="2"/>
      </x:c>
      <x:c r="M17" s="14" t="str">
        <x:f t="shared" si="3"/>
        <x:v>■</x:v>
      </x:c>
    </x:row>
    <x:row r="18" ht="38.099998474121094" customHeight="1">
      <x:c r="B18" s="10">
        <x:v>15</x:v>
      </x:c>
      <x:c r="C18" s="37" t="s">
        <x:v>180</x:v>
      </x:c>
      <x:c r="D18" s="6" t="s">
        <x:v>181</x:v>
      </x:c>
      <x:c r="E18" s="6" t="str">
        <x:v>팀전체(주: A)</x:v>
      </x:c>
      <x:c r="F18" s="10">
        <x:v>3</x:v>
      </x:c>
      <x:c r="G18" s="10">
        <x:v>3</x:v>
      </x:c>
      <x:c r="H18" s="10" t="n">
        <x:f t="shared" si="0">G18-F18+1</x:f>
        <x:v>1</x:v>
      </x:c>
      <x:c r="I18" s="13">
        <x:v>0</x:v>
      </x:c>
      <x:c r="J18" s="10" t="s">
        <x:v>164</x:v>
      </x:c>
      <x:c r="K18" s="14" t="str">
        <x:f t="shared" si="1"/>
      </x:c>
      <x:c r="L18" s="14" t="str">
        <x:f t="shared" si="2"/>
      </x:c>
      <x:c r="M18" s="14" t="str">
        <x:f t="shared" si="3"/>
        <x:v>■</x:v>
      </x:c>
    </x:row>
    <x:row r="19" hidden="1"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</x:row>
    <x:row r="20" ht="24" customHeight="1">
      <x:c r="B20" s="39" t="s">
        <x:v>182</x:v>
      </x:c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</x:row>
    <x:row r="21">
      <x:c r="B21" s="15" t="s">
        <x:v>162</x:v>
      </x:c>
      <x:c r="C21" s="16"/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>
      <x:c r="B22" s="17" t="s">
        <x:v>166</x:v>
      </x:c>
      <x:c r="C22" s="18"/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>
      <x:c r="B23" s="19" t="s">
        <x:v>169</x:v>
      </x:c>
      <x:c r="C23" s="20"/>
      <x:c r="D23" s="5"/>
      <x:c r="E23" s="5"/>
      <x:c r="F23" s="5"/>
      <x:c r="G23" s="5"/>
      <x:c r="H23" s="5"/>
      <x:c r="I23" s="5"/>
      <x:c r="J23" s="5"/>
      <x:c r="K23" s="5"/>
      <x:c r="L23" s="5"/>
      <x:c r="M23" s="5"/>
    </x:row>
    <x:row r="24">
      <x:c r="B24" s="21" t="s">
        <x:v>175</x:v>
      </x:c>
      <x:c r="C24" s="22"/>
      <x:c r="D24" s="5"/>
      <x:c r="E24" s="5"/>
      <x:c r="F24" s="5"/>
      <x:c r="G24" s="5"/>
      <x:c r="H24" s="5"/>
      <x:c r="I24" s="5"/>
      <x:c r="J24" s="5"/>
      <x:c r="K24" s="5"/>
      <x:c r="L24" s="5"/>
      <x:c r="M24" s="5"/>
    </x:row>
    <x:row r="25">
      <x:c r="B25" s="23" t="s">
        <x:v>178</x:v>
      </x:c>
      <x:c r="C25" s="24"/>
      <x:c r="D25" s="5"/>
      <x:c r="E25" s="5"/>
      <x:c r="F25" s="5"/>
      <x:c r="G25" s="5"/>
      <x:c r="H25" s="5"/>
      <x:c r="I25" s="5"/>
      <x:c r="J25" s="5"/>
      <x:c r="K25" s="5"/>
      <x:c r="L25" s="5"/>
      <x:c r="M25" s="5"/>
    </x:row>
    <x:row r="26">
      <x:c r="B26" s="25" t="s">
        <x:v>183</x:v>
      </x:c>
      <x:c r="C26" s="26"/>
      <x:c r="D26" s="5"/>
      <x:c r="E26" s="5"/>
      <x:c r="F26" s="5"/>
      <x:c r="G26" s="5"/>
      <x:c r="H26" s="5"/>
      <x:c r="I26" s="5"/>
      <x:c r="J26" s="5"/>
      <x:c r="K26" s="5"/>
      <x:c r="L26" s="5"/>
      <x:c r="M26" s="5"/>
    </x:row>
    <x:row r="27">
      <x:c r="B27" s="27" t="s">
        <x:v>180</x:v>
      </x:c>
      <x:c r="C27" s="28"/>
      <x:c r="D27" s="5"/>
      <x:c r="E27" s="5"/>
      <x:c r="F27" s="5"/>
      <x:c r="G27" s="5"/>
      <x:c r="H27" s="5"/>
      <x:c r="I27" s="5"/>
      <x:c r="J27" s="5"/>
      <x:c r="K27" s="5"/>
      <x:c r="L27" s="5"/>
      <x:c r="M27" s="5"/>
    </x:row>
  </x:sheetData>
  <x:mergeCells>
    <x:mergeCell ref="B1:M1"/>
    <x:mergeCell ref="B2:M2"/>
    <x:mergeCell ref="B20:M20"/>
  </x:mergeCells>
  <x:conditionalFormatting sqref="I4:I18">
    <x:cfRule type="dataBar" priority="1">
      <x:dataBar>
        <x:cfvo type="min"/>
        <x:cfvo type="max"/>
        <x:color rgb="FF0F766E"/>
      </x:dataBar>
    </x:cfRule>
  </x:conditionalFormatting>
  <x:conditionalFormatting sqref="J4:J18">
    <x:cfRule type="expression" dxfId="9" priority="2">
      <x:formula>J4="완료"</x:formula>
    </x:cfRule>
    <x:cfRule type="expression" dxfId="8" priority="3">
      <x:formula>J4="진행"</x:formula>
    </x:cfRule>
    <x:cfRule type="expression" dxfId="7" priority="4">
      <x:formula>J4="예정"</x:formula>
    </x:cfRule>
  </x:conditionalFormatting>
  <x:conditionalFormatting sqref="K4:M18">
    <x:cfRule type="expression" dxfId="6" priority="5">
      <x:formula>AND(K4="■",$C4="기획")</x:formula>
    </x:cfRule>
    <x:cfRule type="expression" dxfId="5" priority="6">
      <x:formula>AND(K4="■",$C4="설계")</x:formula>
    </x:cfRule>
    <x:cfRule type="expression" dxfId="4" priority="7">
      <x:formula>AND(K4="■",$C4="개발")</x:formula>
    </x:cfRule>
    <x:cfRule type="expression" dxfId="3" priority="8">
      <x:formula>AND(K4="■",$C4="배포")</x:formula>
    </x:cfRule>
    <x:cfRule type="expression" dxfId="2" priority="9">
      <x:formula>AND(K4="■",$C4="테스트")</x:formula>
    </x:cfRule>
    <x:cfRule type="expression" dxfId="1" priority="10">
      <x:formula>AND(K4="■",$C4="문서화")</x:formula>
    </x:cfRule>
    <x:cfRule type="expression" dxfId="0" priority="11">
      <x:formula>AND(K4="■",$C4="발표준비")</x:formula>
    </x:cfRule>
  </x:conditionalFormatting>
  <x:conditionalFormatting sqref="I4:I18">
    <x:cfRule type="dataBar" priority="1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{2429C165-13F4-31BD-ADE0-E76E8FCFC1BF}</x14:id>
        </x:ext>
      </x:extLst>
    </x:cfRule>
  </x:conditionalFormatting>
  <x:dataValidations count="1">
    <x:dataValidation type="list" sqref="J4:J18">
      <x:formula1>"예정,진행,완료"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2" id="{2429C165-13F4-31BD-ADE0-E76E8FCFC1BF}">
            <x14:dataBar>
              <x14:cfvo type="min"/>
              <x14:cfvo type="max"/>
              <x14:fillColor rgb="FF0F766E"/>
              <x14:negativeFillColor auto="1"/>
              <x14:axisColor auto="1"/>
            </x14:dataBar>
          </x14:cfRule>
          <xm:sqref>I4:I18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4.25"/>
  <x:cols>
    <x:col min="2" max="2" width="22" customWidth="1"/>
    <x:col min="3" max="3" width="55" customWidth="1"/>
    <x:col min="4" max="4" width="58" customWidth="1"/>
  </x:cols>
  <x:sheetData>
    <x:row r="1" ht="30" customHeight="1">
      <x:c r="B1" s="38" t="s">
        <x:v>184</x:v>
      </x:c>
      <x:c r="C1" s="38"/>
      <x:c r="D1" s="38"/>
    </x:row>
    <x:row r="2">
      <x:c r="B2" s="41" t="s">
        <x:v>185</x:v>
      </x:c>
      <x:c r="C2" s="41"/>
      <x:c r="D2" s="41"/>
    </x:row>
    <x:row r="3">
      <x:c r="B3" s="5"/>
      <x:c r="C3" s="5"/>
      <x:c r="D3" s="5"/>
    </x:row>
    <x:row r="4" ht="33.95000076293945" customHeight="1">
      <x:c r="B4" s="7" t="s">
        <x:v>186</x:v>
      </x:c>
      <x:c r="C4" s="7" t="s">
        <x:v>187</x:v>
      </x:c>
      <x:c r="D4" s="7" t="s">
        <x:v>188</x:v>
      </x:c>
    </x:row>
    <x:row r="5" ht="42" customHeight="1">
      <x:c r="B5" s="29" t="s">
        <x:v>189</x:v>
      </x:c>
      <x:c r="C5" s="6" t="s">
        <x:v>190</x:v>
      </x:c>
      <x:c r="D5" s="6" t="s">
        <x:v>191</x:v>
      </x:c>
    </x:row>
    <x:row r="6" ht="42" customHeight="1">
      <x:c r="B6" s="29" t="s">
        <x:v>192</x:v>
      </x:c>
      <x:c r="C6" s="6" t="s">
        <x:v>193</x:v>
      </x:c>
      <x:c r="D6" s="6" t="s">
        <x:v>194</x:v>
      </x:c>
    </x:row>
    <x:row r="7" ht="42" customHeight="1">
      <x:c r="B7" s="29" t="s">
        <x:v>195</x:v>
      </x:c>
      <x:c r="C7" s="6" t="s">
        <x:v>196</x:v>
      </x:c>
      <x:c r="D7" s="6" t="s">
        <x:v>197</x:v>
      </x:c>
    </x:row>
    <x:row r="8" ht="42" customHeight="1">
      <x:c r="B8" s="29" t="s">
        <x:v>198</x:v>
      </x:c>
      <x:c r="C8" s="6" t="s">
        <x:v>199</x:v>
      </x:c>
      <x:c r="D8" s="6" t="s">
        <x:v>200</x:v>
      </x:c>
    </x:row>
    <x:row r="9" ht="42" customHeight="1">
      <x:c r="B9" s="29" t="s">
        <x:v>201</x:v>
      </x:c>
      <x:c r="C9" s="6" t="s">
        <x:v>202</x:v>
      </x:c>
      <x:c r="D9" s="6" t="s">
        <x:v>203</x:v>
      </x:c>
    </x:row>
    <x:row r="10" ht="42" customHeight="1">
      <x:c r="B10" s="29" t="s">
        <x:v>204</x:v>
      </x:c>
      <x:c r="C10" s="6" t="s">
        <x:v>205</x:v>
      </x:c>
      <x:c r="D10" s="6" t="s">
        <x:v>206</x:v>
      </x:c>
    </x:row>
    <x:row r="11" ht="42" customHeight="1">
      <x:c r="B11" s="29" t="s">
        <x:v>207</x:v>
      </x:c>
      <x:c r="C11" s="6" t="s">
        <x:v>208</x:v>
      </x:c>
      <x:c r="D11" s="6" t="s">
        <x:v>209</x:v>
      </x:c>
    </x:row>
    <x:row r="12" ht="42" customHeight="1">
      <x:c r="B12" s="29" t="s">
        <x:v>210</x:v>
      </x:c>
      <x:c r="C12" s="6" t="s">
        <x:v>211</x:v>
      </x:c>
      <x:c r="D12" s="6" t="s">
        <x:v>212</x:v>
      </x:c>
    </x:row>
    <x:row r="13" ht="42" customHeight="1">
      <x:c r="B13" s="29" t="s">
        <x:v>213</x:v>
      </x:c>
      <x:c r="C13" s="6" t="s">
        <x:v>214</x:v>
      </x:c>
      <x:c r="D13" s="6" t="s">
        <x:v>215</x:v>
      </x:c>
    </x:row>
    <x:row r="14" ht="42" customHeight="1">
      <x:c r="B14" s="29" t="s">
        <x:v>216</x:v>
      </x:c>
      <x:c r="C14" s="6" t="s">
        <x:v>217</x:v>
      </x:c>
      <x:c r="D14" s="6" t="s">
        <x:v>218</x:v>
      </x:c>
    </x:row>
    <x:row r="15" ht="42" customHeight="1">
      <x:c r="B15" s="29" t="str">
        <x:v>.env / VITE_</x:v>
      </x:c>
      <x:c r="C15" s="6" t="str">
        <x:v>환경별 값을 코드와 분리해 적는 파일/접두사</x:v>
      </x:c>
      <x:c r="D15" s="6" t="str">
        <x:v>일반 공개 설정에는 사용할 수 있으나 OpenAI 비밀 키는 VITE_ 변수에 넣지 않음</x:v>
      </x:c>
    </x:row>
    <x:row r="16" ht="42" customHeight="1">
      <x:c r="B16" s="29" t="str">
        <x:v>API</x:v>
      </x:c>
      <x:c r="C16" s="6" t="str">
        <x:v>프로그램이 다른 서비스에 요청하고 응답받는 규칙</x:v>
      </x:c>
      <x:c r="D16" s="6" t="str">
        <x:v>Vue → Netlify Function → OpenAI API 순서로 호출</x:v>
      </x:c>
    </x:row>
    <x:row r="17" ht="42" customHeight="1">
      <x:c r="B17" s="29" t="str">
        <x:v>JSON</x:v>
      </x:c>
      <x:c r="C17" s="6" t="str">
        <x:v>키와 값으로 데이터를 표현하는 텍스트 형식</x:v>
      </x:c>
      <x:c r="D17" s="6" t="str">
        <x:v>서울 관광지·문화시설·축제 등 제공 데이터 파일 형식</x:v>
      </x:c>
    </x:row>
    <x:row r="18" ht="42" customHeight="1">
      <x:c r="B18" s="29" t="str">
        <x:v>Netlify</x:v>
      </x:c>
      <x:c r="C18" s="6" t="str">
        <x:v>정적 웹사이트와 서버리스 함수를 함께 배포하는 서비스</x:v>
      </x:c>
      <x:c r="D18" s="6" t="str">
        <x:v>Vue 빌드 결과와 netlify/functions를 Git 연동으로 통합 배포</x:v>
      </x:c>
    </x:row>
    <x:row r="19" ht="42" customHeight="1">
      <x:c r="B19" s="29" t="s">
        <x:v>219</x:v>
      </x:c>
      <x:c r="C19" s="6" t="s">
        <x:v>220</x:v>
      </x:c>
      <x:c r="D19" s="6" t="s">
        <x:v>221</x:v>
      </x:c>
    </x:row>
    <x:row r="20" ht="42" customHeight="1">
      <x:c r="B20" s="29" t="s">
        <x:v>73</x:v>
      </x:c>
      <x:c r="C20" s="6" t="s">
        <x:v>222</x:v>
      </x:c>
      <x:c r="D20" s="6" t="s">
        <x:v>223</x:v>
      </x:c>
    </x:row>
    <x:row r="21" ht="42" customHeight="1">
      <x:c r="B21" s="29" t="s">
        <x:v>224</x:v>
      </x:c>
      <x:c r="C21" s="6" t="s">
        <x:v>225</x:v>
      </x:c>
      <x:c r="D21" s="6" t="s">
        <x:v>226</x:v>
      </x:c>
    </x:row>
    <x:row r="22" ht="42" customHeight="1">
      <x:c r="B22" s="2" t="s">
        <x:v>227</x:v>
      </x:c>
      <x:c r="C22" s="2" t="s">
        <x:v>228</x:v>
      </x:c>
      <x:c r="D22" s="2" t="s">
        <x:v>229</x:v>
      </x:c>
    </x:row>
    <x:row r="23" ht="42" customHeight="1">
      <x:c r="B23" s="2" t="s">
        <x:v>230</x:v>
      </x:c>
      <x:c r="C23" s="2" t="s">
        <x:v>231</x:v>
      </x:c>
      <x:c r="D23" s="2" t="s">
        <x:v>232</x:v>
      </x:c>
    </x:row>
    <x:row r="24" ht="42" customHeight="1">
      <x:c r="B24" s="142" t="str">
        <x:v>Netlify Functions</x:v>
      </x:c>
      <x:c r="C24" s="142" t="str">
        <x:v>Netlify에서 요청이 있을 때만 실행되는 서버 측 함수</x:v>
      </x:c>
      <x:c r="D24" s="142" t="str">
        <x:v>OPENAI_API_KEY를 안전하게 읽고 챗봇 요청을 OpenAI API로 중계</x:v>
      </x:c>
    </x:row>
    <x:row r="25" ht="42" customHeight="1">
      <x:c r="B25" s="142" t="str">
        <x:v>서버리스</x:v>
      </x:c>
      <x:c r="C25" s="142" t="str">
        <x:v>서버를 직접 설치·운영하지 않고 함수 단위로 실행하는 방식</x:v>
      </x:c>
      <x:c r="D25" s="142" t="str">
        <x:v>별도 상시 백엔드 없이 API 키 보호용 함수만 운영</x:v>
      </x:c>
    </x:row>
  </x:sheetData>
  <x:mergeCells>
    <x:mergeCell ref="B1:D1"/>
    <x:mergeCell ref="B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34" hidden="0" customWidth="1"/>
    <x:col min="4" max="4" width="33" hidden="0" customWidth="1"/>
    <x:col min="5" max="5" width="16" hidden="0" customWidth="1"/>
    <x:col min="6" max="6" width="25" hidden="0" customWidth="1"/>
  </x:cols>
  <x:sheetData>
    <x:row r="1" ht="28" customHeight="1">
      <x:c r="A1" s="98" t="str">
        <x:v>LocalHub 최종 기술구성·Netlify 배포 체크리스트</x:v>
      </x:c>
      <x:c r="B1" s="98"/>
      <x:c r="C1" s="98"/>
      <x:c r="D1" s="98"/>
      <x:c r="E1" s="98"/>
      <x:c r="F1" s="98"/>
    </x:row>
    <x:row r="2" ht="38" customHeight="1">
      <x:c r="A2" s="107" t="str">
        <x:v>핵심 결정: Vue 빌드에 OpenAI 키를 포함하지 않고, Netlify Functions가 OPENAI_API_KEY를 사용해 LLM 요청을 중계합니다.</x:v>
      </x:c>
      <x:c r="B2" s="107"/>
      <x:c r="C2" s="107"/>
      <x:c r="D2" s="107"/>
      <x:c r="E2" s="107"/>
      <x:c r="F2" s="107"/>
    </x:row>
    <x:row r="4" ht="24" customHeight="1">
      <x:c r="A4" s="116" t="str">
        <x:v>1. 최종 챗봇 아키텍처</x:v>
      </x:c>
      <x:c r="B4" s="116"/>
      <x:c r="C4" s="116"/>
      <x:c r="D4" s="116"/>
      <x:c r="E4" s="116"/>
      <x:c r="F4" s="116"/>
    </x:row>
    <x:row r="5" ht="28" customHeight="1">
      <x:c r="A5" s="125" t="str">
        <x:v>사용자 → Vue Chat UI → POST /.netlify/functions/chat → Netlify Function → OpenAI API → 응답 표시</x:v>
      </x:c>
      <x:c r="B5" s="125"/>
      <x:c r="C5" s="125"/>
      <x:c r="D5" s="125"/>
      <x:c r="E5" s="125"/>
      <x:c r="F5" s="125"/>
    </x:row>
    <x:row r="7" ht="36" customHeight="1">
      <x:c r="A7" s="135" t="str">
        <x:v>구성요소</x:v>
      </x:c>
      <x:c r="B7" s="135" t="str">
        <x:v>실행 위치</x:v>
      </x:c>
      <x:c r="C7" s="135" t="str">
        <x:v>주요 역할</x:v>
      </x:c>
      <x:c r="D7" s="135" t="str">
        <x:v>키 처리</x:v>
      </x:c>
      <x:c r="E7" s="135" t="str">
        <x:v>입·출력</x:v>
      </x:c>
      <x:c r="F7" s="135" t="str">
        <x:v>구현 파일 예시</x:v>
      </x:c>
    </x:row>
    <x:row r="8" ht="36" customHeight="1">
      <x:c r="A8" s="143" t="str">
        <x:v>Chatbot UI</x:v>
      </x:c>
      <x:c r="B8" s="143" t="str">
        <x:v>브라우저</x:v>
      </x:c>
      <x:c r="C8" s="143" t="str">
        <x:v>질문 입력, 대화 히스토리, 로딩·오류·재시도 UI</x:v>
      </x:c>
      <x:c r="D8" s="143" t="str">
        <x:v>키 없음</x:v>
      </x:c>
      <x:c r="E8" s="143" t="str">
        <x:v>질문/답변</x:v>
      </x:c>
      <x:c r="F8" s="143" t="str">
        <x:v>src/components/Chatbot.vue</x:v>
      </x:c>
    </x:row>
    <x:row r="9" ht="36" customHeight="1">
      <x:c r="A9" s="143" t="str">
        <x:v>chatApi 서비스</x:v>
      </x:c>
      <x:c r="B9" s="143" t="str">
        <x:v>브라우저</x:v>
      </x:c>
      <x:c r="C9" s="143" t="str">
        <x:v>Functions 엔드포인트 호출 및 응답 파싱</x:v>
      </x:c>
      <x:c r="D9" s="143" t="str">
        <x:v>키 없음</x:v>
      </x:c>
      <x:c r="E9" s="143" t="str">
        <x:v>POST JSON</x:v>
      </x:c>
      <x:c r="F9" s="143" t="str">
        <x:v>src/services/chatApi.js</x:v>
      </x:c>
    </x:row>
    <x:row r="10" ht="36" customHeight="1">
      <x:c r="A10" s="143" t="str">
        <x:v>chat Function</x:v>
      </x:c>
      <x:c r="B10" s="143" t="str">
        <x:v>Netlify</x:v>
      </x:c>
      <x:c r="C10" s="143" t="str">
        <x:v>입력 검증, 서울 데이터 컨텍스트 제한, OpenAI 호출</x:v>
      </x:c>
      <x:c r="D10" s="143" t="str">
        <x:v>process.env.OPENAI_API_KEY</x:v>
      </x:c>
      <x:c r="E10" s="143" t="str">
        <x:v>질문·context → 답변</x:v>
      </x:c>
      <x:c r="F10" s="143" t="str">
        <x:v>netlify/functions/chat.mjs</x:v>
      </x:c>
    </x:row>
    <x:row r="11" ht="36" customHeight="1">
      <x:c r="A11" s="143" t="str">
        <x:v>OpenAI API</x:v>
      </x:c>
      <x:c r="B11" s="143" t="str">
        <x:v>외부 서비스</x:v>
      </x:c>
      <x:c r="C11" s="143" t="str">
        <x:v>LLM 답변 생성</x:v>
      </x:c>
      <x:c r="D11" s="143" t="str">
        <x:v>Function 런타임에서만 전달</x:v>
      </x:c>
      <x:c r="E11" s="143" t="str">
        <x:v>messages → completion</x:v>
      </x:c>
      <x:c r="F11" s="143" t="str">
        <x:v>외부 API</x:v>
      </x:c>
    </x:row>
    <x:row r="12" ht="36" customHeight="1"/>
    <x:row r="13" ht="24" customHeight="1">
      <x:c r="A13" s="116" t="str">
        <x:v>2. Netlify 설정 기준</x:v>
      </x:c>
      <x:c r="B13" s="116"/>
      <x:c r="C13" s="116"/>
      <x:c r="D13" s="116"/>
      <x:c r="E13" s="116"/>
      <x:c r="F13" s="116"/>
    </x:row>
    <x:row r="14" ht="36" customHeight="1">
      <x:c r="A14" s="135" t="str">
        <x:v>Build command</x:v>
      </x:c>
      <x:c r="B14" s="143" t="str">
        <x:v>npm run build</x:v>
      </x:c>
      <x:c r="C14" s="143"/>
      <x:c r="D14" s="143"/>
      <x:c r="E14" s="143"/>
      <x:c r="F14" s="143"/>
    </x:row>
    <x:row r="15" ht="36" customHeight="1">
      <x:c r="A15" s="135" t="str">
        <x:v>Publish directory</x:v>
      </x:c>
      <x:c r="B15" s="143" t="str">
        <x:v>dist</x:v>
      </x:c>
      <x:c r="C15" s="143"/>
      <x:c r="D15" s="143"/>
      <x:c r="E15" s="143"/>
      <x:c r="F15" s="143"/>
    </x:row>
    <x:row r="16" ht="36" customHeight="1">
      <x:c r="A16" s="135" t="str">
        <x:v>Functions directory</x:v>
      </x:c>
      <x:c r="B16" s="143" t="str">
        <x:v>netlify/functions</x:v>
      </x:c>
      <x:c r="C16" s="143"/>
      <x:c r="D16" s="143"/>
      <x:c r="E16" s="143"/>
      <x:c r="F16" s="143"/>
    </x:row>
    <x:row r="17" ht="36" customHeight="1">
      <x:c r="A17" s="135" t="str">
        <x:v>운영 환경변수</x:v>
      </x:c>
      <x:c r="B17" s="145" t="str">
        <x:v>OPENAI_API_KEY — Netlify Site configuration &gt; Environment variables에 등록</x:v>
      </x:c>
      <x:c r="C17" s="145"/>
      <x:c r="D17" s="145"/>
      <x:c r="E17" s="145"/>
      <x:c r="F17" s="145"/>
    </x:row>
    <x:row r="18" ht="36" customHeight="1">
      <x:c r="A18" s="135" t="str">
        <x:v>프론트엔드 금지</x:v>
      </x:c>
      <x:c r="B18" s="145" t="str">
        <x:v>VITE_OPENAI_API_KEY, 하드코딩된 sk- 키, Git에 포함된 .env</x:v>
      </x:c>
      <x:c r="C18" s="145"/>
      <x:c r="D18" s="145"/>
      <x:c r="E18" s="145"/>
      <x:c r="F18" s="145"/>
    </x:row>
    <x:row r="19" ht="36" customHeight="1">
      <x:c r="A19" s="135" t="str">
        <x:v>호출 경로</x:v>
      </x:c>
      <x:c r="B19" s="143" t="str">
        <x:v>/.netlify/functions/chat</x:v>
      </x:c>
      <x:c r="C19" s="143"/>
      <x:c r="D19" s="143"/>
      <x:c r="E19" s="143"/>
      <x:c r="F19" s="143"/>
    </x:row>
    <x:row r="20" ht="36" customHeight="1"/>
    <x:row r="21" ht="24" customHeight="1">
      <x:c r="A21" s="116" t="str">
        <x:v>3. 구현·배포 QA 체크리스트</x:v>
      </x:c>
      <x:c r="B21" s="116"/>
      <x:c r="C21" s="116"/>
      <x:c r="D21" s="116"/>
      <x:c r="E21" s="116"/>
      <x:c r="F21" s="116"/>
    </x:row>
    <x:row r="22" ht="36" customHeight="1">
      <x:c r="A22" s="143" t="str">
        <x:v>□</x:v>
      </x:c>
      <x:c r="B22" s="143" t="str">
        <x:v>Functions</x:v>
      </x:c>
      <x:c r="C22" s="143" t="str">
        <x:v>POST 외 요청 차단, 빈 질문·과도한 길이 검증</x:v>
      </x:c>
      <x:c r="D22" s="143" t="str">
        <x:v>입력 오류는 400, 서버 오류는 500 계열로 구분</x:v>
      </x:c>
      <x:c r="E22" s="143" t="str">
        <x:v>완료 여부</x:v>
      </x:c>
      <x:c r="F22" s="143" t="str"/>
    </x:row>
    <x:row r="23" ht="36" customHeight="1">
      <x:c r="A23" s="147" t="str">
        <x:v>□</x:v>
      </x:c>
      <x:c r="B23" s="147" t="str">
        <x:v>키 보안</x:v>
      </x:c>
      <x:c r="C23" s="147" t="str">
        <x:v>브라우저 JS 번들·GitLab·Network 응답에서 OPENAI_API_KEY 검색</x:v>
      </x:c>
      <x:c r="D23" s="147" t="str">
        <x:v>키 문자열 0건 확인</x:v>
      </x:c>
      <x:c r="E23" s="147" t="str">
        <x:v>완료 여부</x:v>
      </x:c>
      <x:c r="F23" s="147" t="str"/>
    </x:row>
    <x:row r="24" ht="36" customHeight="1">
      <x:c r="A24" s="143" t="str">
        <x:v>□</x:v>
      </x:c>
      <x:c r="B24" s="143" t="str">
        <x:v>비용 제어</x:v>
      </x:c>
      <x:c r="C24" s="143" t="str">
        <x:v>질문 길이·컨텍스트 항목 수·응답 토큰·연속 호출 제한</x:v>
      </x:c>
      <x:c r="D24" s="143" t="str">
        <x:v>전체 JSON 무제한 전송 금지</x:v>
      </x:c>
      <x:c r="E24" s="143" t="str">
        <x:v>완료 여부</x:v>
      </x:c>
      <x:c r="F24" s="143" t="str"/>
    </x:row>
    <x:row r="25" ht="36" customHeight="1">
      <x:c r="A25" s="143" t="str">
        <x:v>□</x:v>
      </x:c>
      <x:c r="B25" s="143" t="str">
        <x:v>데이터 근거</x:v>
      </x:c>
      <x:c r="C25" s="143" t="str">
        <x:v>서울 JSON에서 관련 항목을 선별해 Function으로 전달</x:v>
      </x:c>
      <x:c r="D25" s="143" t="str">
        <x:v>없는 정보는 추측하지 않고 안내</x:v>
      </x:c>
      <x:c r="E25" s="143" t="str">
        <x:v>완료 여부</x:v>
      </x:c>
      <x:c r="F25" s="143" t="str"/>
    </x:row>
    <x:row r="26" ht="36" customHeight="1">
      <x:c r="A26" s="143" t="str">
        <x:v>□</x:v>
      </x:c>
      <x:c r="B26" s="143" t="str">
        <x:v>배포</x:v>
      </x:c>
      <x:c r="C26" s="143" t="str">
        <x:v>SPA 새로고침, Functions URL, 모바일 채팅 UI 점검</x:v>
      </x:c>
      <x:c r="D26" s="143" t="str">
        <x:v>Netlify Production URL에서 확인</x:v>
      </x:c>
      <x:c r="E26" s="143" t="str">
        <x:v>완료 여부</x:v>
      </x:c>
      <x:c r="F26" s="143" t="str"/>
    </x:row>
    <x:row r="27" ht="36" customHeight="1">
      <x:c r="A27" s="143" t="str">
        <x:v>□</x:v>
      </x:c>
      <x:c r="B27" s="143" t="str">
        <x:v>제출</x:v>
      </x:c>
      <x:c r="C27" s="143" t="str">
        <x:v>.env 미포함, README에 환경변수명·로컬 실행법 기재</x:v>
      </x:c>
      <x:c r="D27" s="143" t="str">
        <x:v>실제 키 값은 문서에 적지 않음</x:v>
      </x:c>
      <x:c r="E27" s="143" t="str">
        <x:v>완료 여부</x:v>
      </x:c>
      <x:c r="F27" s="143" t="str"/>
    </x:row>
    <x:row r="28" ht="36" customHeight="1"/>
    <x:row r="29" ht="24" customHeight="1">
      <x:c r="A29" s="116" t="str">
        <x:v>4. 서울 데이터 및 라이선스 기준</x:v>
      </x:c>
      <x:c r="B29" s="116"/>
      <x:c r="C29" s="116"/>
      <x:c r="D29" s="116"/>
      <x:c r="E29" s="116"/>
      <x:c r="F29" s="116"/>
    </x:row>
    <x:row r="30" ht="44" customHeight="1">
      <x:c r="A30" s="143" t="str">
        <x:v>제공기관</x:v>
      </x:c>
      <x:c r="B30" s="143" t="str">
        <x:v>한국관광공사</x:v>
      </x:c>
      <x:c r="C30" s="143" t="str">
        <x:v>데이터명</x:v>
      </x:c>
      <x:c r="D30" s="143" t="str">
        <x:v>국문 관광정보 서비스(TourAPI 4.0)</x:v>
      </x:c>
      <x:c r="E30" s="143" t="str">
        <x:v>권역</x:v>
      </x:c>
      <x:c r="F30" s="143" t="str">
        <x:v>서울</x:v>
      </x:c>
    </x:row>
    <x:row r="31" ht="44" customHeight="1">
      <x:c r="A31" s="143" t="str">
        <x:v>라이선스</x:v>
      </x:c>
      <x:c r="B31" s="143" t="str">
        <x:v>공공누리 제3유형</x:v>
      </x:c>
      <x:c r="C31" s="143" t="str">
        <x:v>필수 표시</x:v>
      </x:c>
      <x:c r="D31" s="143" t="str">
        <x:v>출처 표시 + 원본 데이터 내용 변경 금지</x:v>
      </x:c>
      <x:c r="E31" s="143" t="str">
        <x:v>총 목록</x:v>
      </x:c>
      <x:c r="F31" s="143" t="str">
        <x:v>SOURCE.md 기준 8,150건</x:v>
      </x:c>
    </x:row>
    <x:row r="32" ht="72" customHeight="1">
      <x:c r="A32" s="145" t="str">
        <x:v>주의</x:v>
      </x:c>
      <x:c r="B32" s="145" t="str">
        <x:v>실제 제공 폴더에 서울_음식점.json이 없으면 기능·대시보드에서 음식점 수를 가정하지 않음</x:v>
      </x:c>
      <x:c r="C32" s="145" t="str">
        <x:v>확인</x:v>
      </x:c>
      <x:c r="D32" s="145" t="str">
        <x:v>파일 제공 여부를 팀 착수 시 대조</x:v>
      </x:c>
      <x:c r="E32" s="145" t="str">
        <x:v>스키마</x:v>
      </x:c>
      <x:c r="F32" s="145" t="str">
        <x:v>SCHEMA.md</x:v>
      </x:c>
    </x:row>
    <x:row r="33" ht="60" customHeight="1">
      <x:c r="A33" s="143" t="str">
        <x:v>출처 문구</x:v>
      </x:c>
      <x:c r="B33" s="143" t="str">
        <x:v>이 서비스는 한국관광공사 TourAPI 4.0 데이터를 활용했습니다.</x:v>
      </x:c>
      <x:c r="C33" s="143" t="str">
        <x:v>URL</x:v>
      </x:c>
      <x:c r="D33" s="143" t="str">
        <x:v>https://www.data.go.kr/data/15101578/openapi.do</x:v>
      </x:c>
      <x:c r="E33" s="143" t="str">
        <x:v>라이선스</x:v>
      </x:c>
      <x:c r="F33" s="143" t="str">
        <x:v>공공누리 제3유형</x:v>
      </x:c>
    </x:row>
    <x:row r="34" ht="36" customHeight="1"/>
    <x:row r="35" ht="24" customHeight="1">
      <x:c r="A35" s="116" t="str">
        <x:v>5. 3인 역할 분담</x:v>
      </x:c>
      <x:c r="B35" s="116"/>
      <x:c r="C35" s="116"/>
      <x:c r="D35" s="116"/>
      <x:c r="E35" s="116"/>
      <x:c r="F35" s="116"/>
    </x:row>
    <x:row r="36" ht="36" customHeight="1">
      <x:c r="A36" s="135" t="str">
        <x:v>구분</x:v>
      </x:c>
      <x:c r="B36" s="135" t="str">
        <x:v>주역할</x:v>
      </x:c>
      <x:c r="C36" s="135" t="str">
        <x:v>핵심 담당</x:v>
      </x:c>
      <x:c r="D36" s="135" t="str">
        <x:v>Day1</x:v>
      </x:c>
      <x:c r="E36" s="135" t="str">
        <x:v>Day2</x:v>
      </x:c>
      <x:c r="F36" s="135" t="str">
        <x:v>Day3</x:v>
      </x:c>
    </x:row>
    <x:row r="37" ht="44" customHeight="1">
      <x:c r="A37" s="143" t="str">
        <x:v>팀원 A</x:v>
      </x:c>
      <x:c r="B37" s="143" t="str">
        <x:v>PM·공통 UI·배포</x:v>
      </x:c>
      <x:c r="C37" s="143" t="str">
        <x:v>라우터/레이아웃/반응형/Netlify 배포/발표 통합</x:v>
      </x:c>
      <x:c r="D37" s="143" t="str">
        <x:v>범위·화면 설계</x:v>
      </x:c>
      <x:c r="E37" s="143" t="str">
        <x:v>공통 UI 지원</x:v>
      </x:c>
      <x:c r="F37" s="143" t="str">
        <x:v>배포·PPT·제출</x:v>
      </x:c>
    </x:row>
    <x:row r="38" ht="44" customHeight="1">
      <x:c r="A38" s="143" t="str">
        <x:v>팀원 B</x:v>
      </x:c>
      <x:c r="B38" s="143" t="str">
        <x:v>데이터·대시보드</x:v>
      </x:c>
      <x:c r="C38" s="143" t="str">
        <x:v>서울 JSON 로더/필터/Chart.js/기능명세 데이터 표</x:v>
      </x:c>
      <x:c r="D38" s="143" t="str">
        <x:v>데이터 분석</x:v>
      </x:c>
      <x:c r="E38" s="143" t="str">
        <x:v>지역정보·차트</x:v>
      </x:c>
      <x:c r="F38" s="143" t="str">
        <x:v>통합 QA·문서</x:v>
      </x:c>
    </x:row>
    <x:row r="39" ht="44" customHeight="1">
      <x:c r="A39" s="143" t="str">
        <x:v>팀원 C</x:v>
      </x:c>
      <x:c r="B39" s="143" t="str">
        <x:v>커뮤니티·챗봇</x:v>
      </x:c>
      <x:c r="C39" s="143" t="str">
        <x:v>localStorage CRUD/비밀번호/Netlify Function/챗봇 UI</x:v>
      </x:c>
      <x:c r="D39" s="143" t="str">
        <x:v>스키마·Function 설계</x:v>
      </x:c>
      <x:c r="E39" s="143" t="str">
        <x:v>CRUD·챗봇</x:v>
      </x:c>
      <x:c r="F39" s="143" t="str">
        <x:v>챗봇 QA·데모</x:v>
      </x:c>
    </x:row>
  </x:sheetData>
  <x:mergeCells>
    <x:mergeCell ref="A1:F1"/>
    <x:mergeCell ref="A2:F2"/>
    <x:mergeCell ref="A4:F4"/>
    <x:mergeCell ref="A5:F5"/>
    <x:mergeCell ref="A13:F13"/>
    <x:mergeCell ref="B14:F14"/>
    <x:mergeCell ref="B15:F15"/>
    <x:mergeCell ref="B16:F16"/>
    <x:mergeCell ref="B17:F17"/>
    <x:mergeCell ref="B18:F18"/>
    <x:mergeCell ref="B19:F19"/>
    <x:mergeCell ref="A21:F21"/>
    <x:mergeCell ref="A29:F29"/>
    <x:mergeCell ref="A35:F35"/>
  </x:mergeCells>
  <x:pageMargins left="0.7" right="0.7" top="0.75" bottom="0.75" header="0.3" footer="0.3"/>
</x:worksheet>
</file>